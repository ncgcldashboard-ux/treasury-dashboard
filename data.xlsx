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ocation of Jan-26 " sheetId="1" r:id="rId5"/>
    <sheet state="hidden" name="Allocation Strategy" sheetId="2" r:id="rId6"/>
    <sheet state="hidden" name="Jan-26 " sheetId="3" r:id="rId7"/>
    <sheet state="hidden" name="Post MPC Allocation Strategy" sheetId="4" r:id="rId8"/>
    <sheet state="visible" name="Dashboard" sheetId="5" r:id="rId9"/>
    <sheet state="visible" name="WoW Positions" sheetId="6" r:id="rId10"/>
    <sheet state="visible" name="Monthly Stakeholder Update" sheetId="7" r:id="rId11"/>
    <sheet state="visible" name="WoW Archive" sheetId="8" r:id="rId12"/>
    <sheet state="visible" name="Pivot Table 1" sheetId="9" r:id="rId13"/>
    <sheet state="visible" name="Daewoo Sukuk" sheetId="10" r:id="rId14"/>
    <sheet state="visible" name="IOM-007" sheetId="11" r:id="rId15"/>
    <sheet state="visible" name="IOM-008" sheetId="12" r:id="rId16"/>
    <sheet state="visible" name="IOM-009" sheetId="13" r:id="rId17"/>
    <sheet state="visible" name="IOM-010" sheetId="14" r:id="rId18"/>
    <sheet state="hidden" name="Strategy Post Allocation" sheetId="15" r:id="rId19"/>
    <sheet state="visible" name="PKRV Rates" sheetId="16" r:id="rId20"/>
    <sheet state="visible" name="Log" sheetId="17" r:id="rId21"/>
    <sheet state="visible" name="Config" sheetId="18" r:id="rId22"/>
    <sheet state="visible" name="MUFAP Data" sheetId="19" r:id="rId23"/>
    <sheet state="visible" name="Credit Line " sheetId="20" r:id="rId24"/>
    <sheet state="visible" name="Analysis on MTBs Sell off" sheetId="21" r:id="rId25"/>
    <sheet state="hidden" name="Leverage" sheetId="22" r:id="rId26"/>
    <sheet state="hidden" name="Portfolio Interest Rate Sensiti" sheetId="23" r:id="rId27"/>
  </sheets>
  <definedNames>
    <definedName hidden="1" localSheetId="4" name="_xlnm._FilterDatabase">Dashboard!$B$40:$D$51</definedName>
    <definedName hidden="1" localSheetId="5" name="_xlnm._FilterDatabase">'WoW Positions'!$B$6:$AD$20</definedName>
  </definedNames>
  <calcPr/>
  <pivotCaches>
    <pivotCache cacheId="0" r:id="rId28"/>
    <pivotCache cacheId="1" r:id="rId2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tc={a05fffee-d803-4aa2-89f4-6fb3e3c9671a}</author>
  </authors>
  <commentList>
    <comment authorId="0" xr:uid="{a05fffee-d803-4aa2-89f4-6fb3e3c9671a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 Jan 2026
3m KIBOR
</t>
      </text>
    </comment>
  </commentList>
</comments>
</file>

<file path=xl/sharedStrings.xml><?xml version="1.0" encoding="utf-8"?>
<sst xmlns="http://schemas.openxmlformats.org/spreadsheetml/2006/main" count="3982" uniqueCount="929">
  <si>
    <t>Cost of placement</t>
  </si>
  <si>
    <t>FV of placement</t>
  </si>
  <si>
    <t>Closing Balance as at Dec'25</t>
  </si>
  <si>
    <t>Closing Balance - (31-Jan-2026)</t>
  </si>
  <si>
    <t>Concentration (%) - (31-Jan-2026)</t>
  </si>
  <si>
    <t>Revised Placement</t>
  </si>
  <si>
    <t>Concentration (%)</t>
  </si>
  <si>
    <t xml:space="preserve">Holding Period </t>
  </si>
  <si>
    <t>Days to Maturity</t>
  </si>
  <si>
    <t>Weighted Maturity</t>
  </si>
  <si>
    <t>Placement %</t>
  </si>
  <si>
    <t>Weighted Placements</t>
  </si>
  <si>
    <t>MTBs (1Y)</t>
  </si>
  <si>
    <t>MTBs (3M)</t>
  </si>
  <si>
    <t>MTBs (6M)</t>
  </si>
  <si>
    <t>Faysal Bank</t>
  </si>
  <si>
    <t>Samba Bank</t>
  </si>
  <si>
    <t>TDR</t>
  </si>
  <si>
    <t>COI</t>
  </si>
  <si>
    <t>Alfalah Government Securities Fund Plan II</t>
  </si>
  <si>
    <t>Alfalah MTS Fund (Formerly: Faysal MTS Fund)</t>
  </si>
  <si>
    <t>Alfalah Income Multiplier</t>
  </si>
  <si>
    <t>MCB Investment Saving Plan I</t>
  </si>
  <si>
    <t>Total Income</t>
  </si>
  <si>
    <t>Finance Cost</t>
  </si>
  <si>
    <t xml:space="preserve">Funds Available </t>
  </si>
  <si>
    <t>bench</t>
  </si>
  <si>
    <t>Funds in Samba for operations</t>
  </si>
  <si>
    <t>(will be moved to Faysal in this week)</t>
  </si>
  <si>
    <t>Currently</t>
  </si>
  <si>
    <t xml:space="preserve">Placement in Faysal </t>
  </si>
  <si>
    <t>Faysal Saving Account @ 10.25%</t>
  </si>
  <si>
    <t>Allocation Available</t>
  </si>
  <si>
    <t>% to Total Portfolio</t>
  </si>
  <si>
    <t>Exposure in Alfalah</t>
  </si>
  <si>
    <t>Current</t>
  </si>
  <si>
    <t>2019-20 (12m)</t>
  </si>
  <si>
    <t>2020-21 (12m)</t>
  </si>
  <si>
    <t>2021-22 (12m)</t>
  </si>
  <si>
    <t>2022-23 (12m)</t>
  </si>
  <si>
    <t>2023-24 (12m)</t>
  </si>
  <si>
    <t>2024-25 (12m)</t>
  </si>
  <si>
    <t>July-Nov 2025 (5m)</t>
  </si>
  <si>
    <t>Additional Investment</t>
  </si>
  <si>
    <t xml:space="preserve">Current </t>
  </si>
  <si>
    <t>Allocation Available (PKR'Mn)</t>
  </si>
  <si>
    <t>Month</t>
  </si>
  <si>
    <t xml:space="preserve">Faysal - Saving </t>
  </si>
  <si>
    <t>Samba - Saving</t>
  </si>
  <si>
    <t>Particular</t>
  </si>
  <si>
    <t>% of Allocation</t>
  </si>
  <si>
    <t>Rate</t>
  </si>
  <si>
    <t>Amount (PKR'Mn)</t>
  </si>
  <si>
    <t>Reason</t>
  </si>
  <si>
    <t>Available Allocation</t>
  </si>
  <si>
    <t>Faysal Saving</t>
  </si>
  <si>
    <t xml:space="preserve">Keep the funds till MPC </t>
  </si>
  <si>
    <t xml:space="preserve">Operating Cost </t>
  </si>
  <si>
    <t>Income Multiplier</t>
  </si>
  <si>
    <t>Investment in Mutual Fund</t>
  </si>
  <si>
    <t>Sovereign Fund / GSF</t>
  </si>
  <si>
    <t>12 MTB</t>
  </si>
  <si>
    <t xml:space="preserve">Placement in 3MTBs directly </t>
  </si>
  <si>
    <t>Rates</t>
  </si>
  <si>
    <t xml:space="preserve">Amount </t>
  </si>
  <si>
    <t>Annualized</t>
  </si>
  <si>
    <t xml:space="preserve">Monthly </t>
  </si>
  <si>
    <t>3 MTBs</t>
  </si>
  <si>
    <t>MCB Pakistan Sovereign Fund</t>
  </si>
  <si>
    <t>COI (Placement)</t>
  </si>
  <si>
    <t xml:space="preserve">Total </t>
  </si>
  <si>
    <t>Avg return</t>
  </si>
  <si>
    <t xml:space="preserve">Currently Placement </t>
  </si>
  <si>
    <t>Recommendation - 1</t>
  </si>
  <si>
    <t>Faysal Saving Account</t>
  </si>
  <si>
    <t>Total Placement (Including COIs)</t>
  </si>
  <si>
    <t>Diversify investment in MF for Yield of 50bps</t>
  </si>
  <si>
    <t>Total Income (Including COIs)</t>
  </si>
  <si>
    <t>Expense</t>
  </si>
  <si>
    <t>Net Carry (Amount)</t>
  </si>
  <si>
    <t>AKD Aggressive Income Fund</t>
  </si>
  <si>
    <t xml:space="preserve">Net Carry (%) </t>
  </si>
  <si>
    <t>Recommendation - 2</t>
  </si>
  <si>
    <t>*Diversified the Fund due to a total exposure on Alfalah will increase to 15% of portfolio</t>
  </si>
  <si>
    <t>Recommendation - 3</t>
  </si>
  <si>
    <t>3Year PIB</t>
  </si>
  <si>
    <t>Impact of Interest Rate Change</t>
  </si>
  <si>
    <t>No Change</t>
  </si>
  <si>
    <t>PIBs</t>
  </si>
  <si>
    <t>Savings</t>
  </si>
  <si>
    <t>Current Allocation</t>
  </si>
  <si>
    <t>in Bank Placement at 10.25%</t>
  </si>
  <si>
    <t>In case of rate cut</t>
  </si>
  <si>
    <t>New Placements - (12-Jan-2026)</t>
  </si>
  <si>
    <t>Concentration (%) - (12-Jan-2026)</t>
  </si>
  <si>
    <t>AKD Aggressive Fund</t>
  </si>
  <si>
    <t>Qtr End</t>
  </si>
  <si>
    <t>Date</t>
  </si>
  <si>
    <t>Asset Classes</t>
  </si>
  <si>
    <t>Allocation %</t>
  </si>
  <si>
    <t>Amount (PKR)</t>
  </si>
  <si>
    <t>Rate of Profit</t>
  </si>
  <si>
    <t>WAM</t>
  </si>
  <si>
    <t>Govt Securities (Treasury Bills)</t>
  </si>
  <si>
    <t>Maturity</t>
  </si>
  <si>
    <t>Interest Earned</t>
  </si>
  <si>
    <t>Govt Securities (PIBs Fixed)</t>
  </si>
  <si>
    <t>TFCs / Sukuks</t>
  </si>
  <si>
    <t xml:space="preserve">AM1 </t>
  </si>
  <si>
    <t xml:space="preserve">Alfalah Income Multiplier Fund </t>
  </si>
  <si>
    <t>Commercial Paper</t>
  </si>
  <si>
    <t>NIT Income Fund</t>
  </si>
  <si>
    <t>Cash</t>
  </si>
  <si>
    <t>MTB (6 Months)</t>
  </si>
  <si>
    <t>Other Assets</t>
  </si>
  <si>
    <t>MTB (9 Months)</t>
  </si>
  <si>
    <t>MTB (12 Months)</t>
  </si>
  <si>
    <t>Asset Allocation (% of Net Assets)</t>
  </si>
  <si>
    <t>T-bills</t>
  </si>
  <si>
    <t>Benchmark (3MK-1%)</t>
  </si>
  <si>
    <t>PIBs Fixed</t>
  </si>
  <si>
    <t>Alpha</t>
  </si>
  <si>
    <t>TFCs/Sukuk/CPs</t>
  </si>
  <si>
    <t>Gross Return</t>
  </si>
  <si>
    <t>Ijarah</t>
  </si>
  <si>
    <t>Daewoo Sukuk</t>
  </si>
  <si>
    <t>PIBs Flaoter</t>
  </si>
  <si>
    <t>Ready/Future</t>
  </si>
  <si>
    <t>Clean Placements</t>
  </si>
  <si>
    <t>MTS</t>
  </si>
  <si>
    <t>Average Return</t>
  </si>
  <si>
    <t>Others</t>
  </si>
  <si>
    <t>Fund Allocation</t>
  </si>
  <si>
    <t>Alfalah Income Multiplier Fund</t>
  </si>
  <si>
    <t>9 Months Treasury Bill</t>
  </si>
  <si>
    <t>12 Months Treasury Bill</t>
  </si>
  <si>
    <t>* adjusted for WHT on debt instruments</t>
  </si>
  <si>
    <t xml:space="preserve">Instrument </t>
  </si>
  <si>
    <t>Contribution</t>
  </si>
  <si>
    <t>Alfalah GHP Income Multiplier Fund</t>
  </si>
  <si>
    <t>Alfalah MTS Fund</t>
  </si>
  <si>
    <t>Daewoo Short Term SUKUK</t>
  </si>
  <si>
    <t>MCB Investment Savings Plan I</t>
  </si>
  <si>
    <t>Grand Total</t>
  </si>
  <si>
    <t>Portfolio Concentration</t>
  </si>
  <si>
    <t>DoD Returns</t>
  </si>
  <si>
    <t>Returns on Banks, COIs, and Sukuks are net of WHT.</t>
  </si>
  <si>
    <t>Cost of Placement</t>
  </si>
  <si>
    <t>Past Week</t>
  </si>
  <si>
    <t>Current Week</t>
  </si>
  <si>
    <t>Gain/Loss</t>
  </si>
  <si>
    <t>1 Day Returns</t>
  </si>
  <si>
    <t>15 Day Returns</t>
  </si>
  <si>
    <t>30 Day Returns</t>
  </si>
  <si>
    <t>90 Day Returns</t>
  </si>
  <si>
    <t>7 Day NAV</t>
  </si>
  <si>
    <t>NAVs</t>
  </si>
  <si>
    <t>Number of Units</t>
  </si>
  <si>
    <t>Date of Placement</t>
  </si>
  <si>
    <t>Date of Maturity</t>
  </si>
  <si>
    <t>Weekly Yield</t>
  </si>
  <si>
    <t xml:space="preserve">Rate </t>
  </si>
  <si>
    <t>Tax Adjusted Rate - 1 Day</t>
  </si>
  <si>
    <t>Gross Expectation</t>
  </si>
  <si>
    <t>Tax Adjusted Rate - 30 Day</t>
  </si>
  <si>
    <t>Remaining Days</t>
  </si>
  <si>
    <t>PVBP</t>
  </si>
  <si>
    <t>Modified Duration</t>
  </si>
  <si>
    <t>Convexity</t>
  </si>
  <si>
    <t>Tenor</t>
  </si>
  <si>
    <t>Secondary Yields</t>
  </si>
  <si>
    <t>Dirty Pricing</t>
  </si>
  <si>
    <t>1Y</t>
  </si>
  <si>
    <t>6M</t>
  </si>
  <si>
    <t>Total</t>
  </si>
  <si>
    <t>Liabilities</t>
  </si>
  <si>
    <t>Borrowing</t>
  </si>
  <si>
    <t xml:space="preserve">NAV </t>
  </si>
  <si>
    <t>NAV Units</t>
  </si>
  <si>
    <t>Benchmark</t>
  </si>
  <si>
    <t>3MK</t>
  </si>
  <si>
    <t>Mutual Funds</t>
  </si>
  <si>
    <t>Begining Nav</t>
  </si>
  <si>
    <t>Latest Nav</t>
  </si>
  <si>
    <t>Units</t>
  </si>
  <si>
    <t>Begining Value</t>
  </si>
  <si>
    <t>Latest Value</t>
  </si>
  <si>
    <t>Monthly Return</t>
  </si>
  <si>
    <t>Mufap 30 day returns</t>
  </si>
  <si>
    <t>MTBs</t>
  </si>
  <si>
    <t>Cost</t>
  </si>
  <si>
    <t>Yield</t>
  </si>
  <si>
    <t>Remaining days</t>
  </si>
  <si>
    <t>Days Elapsed</t>
  </si>
  <si>
    <t>Accrued Interest</t>
  </si>
  <si>
    <t>Total Value</t>
  </si>
  <si>
    <t>Principal</t>
  </si>
  <si>
    <t>Days</t>
  </si>
  <si>
    <t>End Value</t>
  </si>
  <si>
    <t>Bank Placements</t>
  </si>
  <si>
    <t xml:space="preserve">No calculations - just values to be pasted here on a WoW basis. </t>
  </si>
  <si>
    <t>Tax Adjusted Rate</t>
  </si>
  <si>
    <t>Fund Name</t>
  </si>
  <si>
    <t>SUM of 1 Day</t>
  </si>
  <si>
    <t>SUM of 15 Days</t>
  </si>
  <si>
    <t>SUM of 30 Days</t>
  </si>
  <si>
    <t>SUM of 90 Days</t>
  </si>
  <si>
    <t>JS Fixed Term Munafa Fund (JS Fixed Term Munafa Plan I)</t>
  </si>
  <si>
    <t>JS Fixed Term Munafa Fund II (JS Fixed Term Munafa Plan IV)</t>
  </si>
  <si>
    <t>NBP Government Securities Plan VIII</t>
  </si>
  <si>
    <t>MCB Pakistan Fixed Return Plan 29</t>
  </si>
  <si>
    <t>ABL Fixed Rate Plan XXIII</t>
  </si>
  <si>
    <t>ABL Fixed Rate Plan XXII</t>
  </si>
  <si>
    <t>ABL Fixed Rate Plan XXIV</t>
  </si>
  <si>
    <t>HBL Mehfooz Munafa Fund Plan X</t>
  </si>
  <si>
    <t>UBL Income Opportunity Fund</t>
  </si>
  <si>
    <t>JS Fixed Term Munafa Fund II (JS Fixed Term Munafa Plan VI)</t>
  </si>
  <si>
    <t>JS Fixed Term Munafa Fund II (JS Fixed Term Munafa Plan VII)</t>
  </si>
  <si>
    <t>UBL Fixed Return Plan II (M)</t>
  </si>
  <si>
    <t>UBL Fixed Return Plan III (Z)</t>
  </si>
  <si>
    <t>HBL Income Fund</t>
  </si>
  <si>
    <t>JS Fixed Term Munafa Fund (JS Fixed Term Munafa Plan XIX)</t>
  </si>
  <si>
    <t>UBL Fixed Return Plan III (Y)</t>
  </si>
  <si>
    <t>Faysal Islamic Financial Growth Fund II</t>
  </si>
  <si>
    <t>Pak Oman Micro Finance Fund</t>
  </si>
  <si>
    <t>JS Microfinance Sector Fund</t>
  </si>
  <si>
    <t>UBL Cash Fund</t>
  </si>
  <si>
    <t>UBL Growth &amp;amp; Income Fund</t>
  </si>
  <si>
    <t>UBL Fixed Return Plan II (AB)</t>
  </si>
  <si>
    <t>AL Habib Sovereign Income Fund Plan 2</t>
  </si>
  <si>
    <t>ABL Financial Sector Fund Plan I</t>
  </si>
  <si>
    <t>AL Habib Sovereign Income Fund Plan 1</t>
  </si>
  <si>
    <t>JS Fixed Term Munafa Fund II (JS Fixed Term Munafa Plan VIII)</t>
  </si>
  <si>
    <t>AL Habib Fixed Return Fund Plan 22</t>
  </si>
  <si>
    <t>HBL Mehfooz Munafa Fund Plan XI</t>
  </si>
  <si>
    <t>JS Cash Fund</t>
  </si>
  <si>
    <t>Alfalah Financial Sector Opportunity Fund</t>
  </si>
  <si>
    <t>AL Habib Sovereign Income Fund Plan 3</t>
  </si>
  <si>
    <t>NIT Social Impact Fund</t>
  </si>
  <si>
    <t>HBL Financial Sector Income Fund Plan II</t>
  </si>
  <si>
    <t>Alfalah Income &amp;amp; Growth Fund</t>
  </si>
  <si>
    <t>NIT Money Market Fund</t>
  </si>
  <si>
    <t>JS Money Market Fund</t>
  </si>
  <si>
    <t>Lakson Money Market Fund</t>
  </si>
  <si>
    <t>ABL Cash Fund</t>
  </si>
  <si>
    <t>UBL Government Securities Fund</t>
  </si>
  <si>
    <t>Lakson Fixed Return Fund Plan I</t>
  </si>
  <si>
    <t>Alfalah Cash Fund - II</t>
  </si>
  <si>
    <t>NBP Mahana Amdani Fund</t>
  </si>
  <si>
    <t>SUM of Current Week</t>
  </si>
  <si>
    <t>UBL Liquidity Fund</t>
  </si>
  <si>
    <t>Alfalah Money Market Fund - II</t>
  </si>
  <si>
    <t>JS Fixed Term Munafa Fund (JS Fixed Term Munafa Plan XV)</t>
  </si>
  <si>
    <t>JS Fixed Term Munafa Fund II (JS Fixed Term Munafa Plan I)</t>
  </si>
  <si>
    <t>HBL Cash Fund</t>
  </si>
  <si>
    <t>ABL Fixed Rate Plan XIX</t>
  </si>
  <si>
    <t>UBL Money Market Fund</t>
  </si>
  <si>
    <t>Atlas Liquid Fund</t>
  </si>
  <si>
    <t>HBL Money Market Fund</t>
  </si>
  <si>
    <t>UBL Fixed Return Plan IV (O)</t>
  </si>
  <si>
    <t>Alfalah GHP Money Market Fund</t>
  </si>
  <si>
    <t>UBL Fixed Return Plan IV (G)</t>
  </si>
  <si>
    <t>MCB Cash Management Optimizer</t>
  </si>
  <si>
    <t>UBL Liquidity Plus Fund</t>
  </si>
  <si>
    <t>UBL Special Savings Plan X</t>
  </si>
  <si>
    <t>AL Habib Fixed Return Fund Plan 24</t>
  </si>
  <si>
    <t>ABL Money Market Plan I</t>
  </si>
  <si>
    <t>UBL Fixed Return Plan III (X)</t>
  </si>
  <si>
    <t>UBL Special Savings Plan V</t>
  </si>
  <si>
    <t>NBP Savings Fund</t>
  </si>
  <si>
    <t>Faysal Islamic Financial Growth Fund (Faysal Islamic Financial Growth Plan II)</t>
  </si>
  <si>
    <t>Atlas Money Market Fund</t>
  </si>
  <si>
    <t>Askari Sovereign Yield Enhancer</t>
  </si>
  <si>
    <t>NBP Money Market Fund</t>
  </si>
  <si>
    <t>NBP Cash Plan I</t>
  </si>
  <si>
    <t>NBP Cash Plan II</t>
  </si>
  <si>
    <t>HBL Financial Sector Income Fund Plan I</t>
  </si>
  <si>
    <t>Alfalah GHP Cash Fund</t>
  </si>
  <si>
    <t>Al Ameen Islamic Aggressive Income Fund</t>
  </si>
  <si>
    <t>Askari Cash Fund</t>
  </si>
  <si>
    <t>AL Habib Money Market Fund</t>
  </si>
  <si>
    <t>AL Habib Cash Fund</t>
  </si>
  <si>
    <t>Al Ameen Islamic Aggressive Income Plan I</t>
  </si>
  <si>
    <t>Lakson Income Fund</t>
  </si>
  <si>
    <t>Faysal Islamic Financial Growth Fund (Faysal Islamic Financial Growth Plan I)</t>
  </si>
  <si>
    <t>NBP Government Securities Liquid Fund</t>
  </si>
  <si>
    <t>AL Habib Fixed Return Fund Plan 29</t>
  </si>
  <si>
    <t>MCB Pakistan Fixed Return Plan 28</t>
  </si>
  <si>
    <t>JS Fixed Term Munafa Fund (JS Fixed Term Munafa Plan XX)</t>
  </si>
  <si>
    <t>AKD Cash Fund</t>
  </si>
  <si>
    <t>AL Habib Government Securities Fund</t>
  </si>
  <si>
    <t>MCB Pakistan Fixed Return Plan 25</t>
  </si>
  <si>
    <t>Alfalah Stable Return Fund Plan XXVII</t>
  </si>
  <si>
    <t>Alfalah Stable Return Fund Plan XXIV</t>
  </si>
  <si>
    <t>NBP Income Plan I</t>
  </si>
  <si>
    <t>NBP Financial Sector Income Fund</t>
  </si>
  <si>
    <t>JS Fixed Term Munafa Fund (JS Fixed Term Munafa Plan XXI)</t>
  </si>
  <si>
    <t>AWT Financial Sector Income Fund</t>
  </si>
  <si>
    <t>Askari High Yield Scheme</t>
  </si>
  <si>
    <t>Pak Oman Income Fund</t>
  </si>
  <si>
    <t>Alfalah Financial Sector Income Fund</t>
  </si>
  <si>
    <t>AL Habib Income Fund</t>
  </si>
  <si>
    <t>Pakistan Income Fund</t>
  </si>
  <si>
    <t>NBP Income Opportunity Fund</t>
  </si>
  <si>
    <t>AL Habib Fixed Return Fund Plan 23</t>
  </si>
  <si>
    <t>JS Islamic Sarmaya Mehfooz Fund Plan 2 2020</t>
  </si>
  <si>
    <t>Alfalah Special Savings Fund - II</t>
  </si>
  <si>
    <t>ABL Special Saving Fund (ABL Special Saving Plan IV)</t>
  </si>
  <si>
    <t>ABL Special Saving Fund (ABL Special Saving Plan II)</t>
  </si>
  <si>
    <t>ABL Special Saving Fund (ABL Special Saving Plan I)</t>
  </si>
  <si>
    <t>ABL Special Saving Fund (ABL Special Saving Plan III)</t>
  </si>
  <si>
    <t>UBL Asset Allocation Fund</t>
  </si>
  <si>
    <t>Pakistan Cash Management Fund</t>
  </si>
  <si>
    <t>NBP Fixed Term Munafa Plan XXA (NBP Mustahkam Fund II)</t>
  </si>
  <si>
    <t>NBP Fixed Term Munafa Plan XIXA (NBP Mustahkam Fund II)</t>
  </si>
  <si>
    <t>NBP Fixed Term Munafa Plan XIX</t>
  </si>
  <si>
    <t>NBP Fixed Term Munafa Plan XIIIA (NBP Mustahkam Fund II)</t>
  </si>
  <si>
    <t>NBP Fixed Term Munafa Plan XIII (NBP Mustahkam Fund II)</t>
  </si>
  <si>
    <t>NBP Fixed Term Munafa Plan XIIA (NBP Mustahkam Fund II)</t>
  </si>
  <si>
    <t>NBP Fixed Term Munafa Plan XIB (NBP Mustahkam Fund II)</t>
  </si>
  <si>
    <t>ABL Special Saving Fund (ABL Special Saving Plan V)</t>
  </si>
  <si>
    <t>ABL Special Saving Fund (ABL Special Saving Plan VI)</t>
  </si>
  <si>
    <t>NBP Islamic Principal Protection Fund I (NBP Islamic Principal Protection Plan IV)</t>
  </si>
  <si>
    <t>Alfalah Financial Value Fund (Alfalah Financial Value Plan I)</t>
  </si>
  <si>
    <t>Meezan Capital Protected Fund III (Meezan Capital Secure Plan I)</t>
  </si>
  <si>
    <t>NBP Islamic Principal Protection Fund I (NBP Islamic Principal Protection Plan III)</t>
  </si>
  <si>
    <t>NBP Islamic Principal Protection Fund I (NBP Islamic Principal Protection Plan II)</t>
  </si>
  <si>
    <t>NBP Islamic Principal Protection Fund I (NBP Islamic Principal Protection Plan I)</t>
  </si>
  <si>
    <t>MCB Pakistan Asset Allocation Fund</t>
  </si>
  <si>
    <t>Pakistan Capital Market Fund</t>
  </si>
  <si>
    <t>MCB Pakistan Opportunity Fund (MCB Pakistan  Dividend Yield Plan)</t>
  </si>
  <si>
    <t>NIT Asset Allocation Fund</t>
  </si>
  <si>
    <t>Alfalah Special Savings Fund - I</t>
  </si>
  <si>
    <t>ABL Optimal Asset Allocation Fund</t>
  </si>
  <si>
    <t>Lakson Asset Allocation Developed Markets Fund</t>
  </si>
  <si>
    <t>Unit Trust of Pakistan</t>
  </si>
  <si>
    <t>JS Islamic Sarmaya Mehfooz Fund (JS Islamic Sarmaya Mehfooz Plan 1)</t>
  </si>
  <si>
    <t>HBL Multi Asset Fund</t>
  </si>
  <si>
    <t>NBP Balanced Fund</t>
  </si>
  <si>
    <t>Alfalah GHP Value Fund</t>
  </si>
  <si>
    <t>Allied Finergy Fund</t>
  </si>
  <si>
    <t>Alfalah Financial Value Fund - II</t>
  </si>
  <si>
    <t>Pak Oman Advantage Asset Allocation Fund</t>
  </si>
  <si>
    <t>NBP Sarmaya Izafa Fund</t>
  </si>
  <si>
    <t>Alfalah Asset Allocation Fund</t>
  </si>
  <si>
    <t>NIT - Income Fund</t>
  </si>
  <si>
    <t>Lakson Tactical Fund</t>
  </si>
  <si>
    <t>Meezan Gold Fund</t>
  </si>
  <si>
    <t>AL Habib Fixed Return Fund Plan 28</t>
  </si>
  <si>
    <t>AL Habib Asset Allocation Fund</t>
  </si>
  <si>
    <t>HBL Mehfooz Munafa Fund Plan IV</t>
  </si>
  <si>
    <t>Alfalah Stable Return Fund Plan XXVI</t>
  </si>
  <si>
    <t>Alfalah Stable Return Fund Plan XXII</t>
  </si>
  <si>
    <t>ABL Income Fund</t>
  </si>
  <si>
    <t>Atlas Income Fund</t>
  </si>
  <si>
    <t>MCB DCF Fixed Return III (Plan IV)</t>
  </si>
  <si>
    <t>MCB DCF Income Fund</t>
  </si>
  <si>
    <t>Alfalah Stable Return Fund Plan XXIII</t>
  </si>
  <si>
    <t>Alfalah GHP Income Fund</t>
  </si>
  <si>
    <t>ABL Government Securities Fund</t>
  </si>
  <si>
    <t>Alfalah Stable Return Fund Plan XXI</t>
  </si>
  <si>
    <t>AWT Income Fund</t>
  </si>
  <si>
    <t>MCB Government Securities Plan I</t>
  </si>
  <si>
    <t>JS Income Fund</t>
  </si>
  <si>
    <t>Atlas Sovereign Fund</t>
  </si>
  <si>
    <t>AL Habib Fixed Return Fund Plan 19</t>
  </si>
  <si>
    <t>HBL Government Securities Fund</t>
  </si>
  <si>
    <t>Pakistan Income Enhancement Fund</t>
  </si>
  <si>
    <t>NIT - Government Bond Fund</t>
  </si>
  <si>
    <t>NBP Government Securities Savings Fund</t>
  </si>
  <si>
    <t>NBP Government Securities Plan IV</t>
  </si>
  <si>
    <t>Alfalah Government Securities Fund - II</t>
  </si>
  <si>
    <t>Alfalah GHP Sovereign Fund</t>
  </si>
  <si>
    <t>Alfalah Savings Growth Fund</t>
  </si>
  <si>
    <t>Alfalah Stable Return Fund Plan XX</t>
  </si>
  <si>
    <t>JS Government Securities Fund</t>
  </si>
  <si>
    <t>Alfalah Government Securities Fund Plan I</t>
  </si>
  <si>
    <t>National Credit Guarantee Company Limited</t>
  </si>
  <si>
    <t>Investments Team</t>
  </si>
  <si>
    <t>Date:</t>
  </si>
  <si>
    <t>Proposed Transaction</t>
  </si>
  <si>
    <t>Placement in Sukuk</t>
  </si>
  <si>
    <t>Bank/Company/SPV</t>
  </si>
  <si>
    <t>Gross (PKR'Mn)</t>
  </si>
  <si>
    <t>Tax @ 25%</t>
  </si>
  <si>
    <t>Net (PKR'Mn)</t>
  </si>
  <si>
    <t>Daewoo Pakistan Express Bus Service Limited</t>
  </si>
  <si>
    <t>Annualized Yield</t>
  </si>
  <si>
    <t>Status Quo</t>
  </si>
  <si>
    <t>Tax @ 20%</t>
  </si>
  <si>
    <t>Faysal Bank Limited</t>
  </si>
  <si>
    <t>Delta (Gross)</t>
  </si>
  <si>
    <t>Delta (Net)</t>
  </si>
  <si>
    <t>Period (days)</t>
  </si>
  <si>
    <t>Govt. Security Placement</t>
  </si>
  <si>
    <t>Placement</t>
  </si>
  <si>
    <t>Gross</t>
  </si>
  <si>
    <t>Tax</t>
  </si>
  <si>
    <t>Net</t>
  </si>
  <si>
    <t xml:space="preserve">12M MTBs
 </t>
  </si>
  <si>
    <t xml:space="preserve">Note: All amounts mentioned in PKR mn unless stated otherwise. </t>
  </si>
  <si>
    <t>Reverse Repo</t>
  </si>
  <si>
    <t xml:space="preserve">Pak Oman Investment Company </t>
  </si>
  <si>
    <t xml:space="preserve">6M MTBs
 </t>
  </si>
  <si>
    <t>Mutual Fund Placement</t>
  </si>
  <si>
    <r>
      <rPr>
        <rFont val="Arial"/>
        <b/>
        <color theme="1"/>
        <sz val="10.0"/>
      </rPr>
      <t>Annualized Yield (</t>
    </r>
    <r>
      <rPr>
        <rFont val="Arial"/>
        <b/>
        <i/>
        <color theme="1"/>
        <sz val="10.0"/>
      </rPr>
      <t>Post Tax</t>
    </r>
    <r>
      <rPr>
        <rFont val="Arial"/>
        <b/>
        <color theme="1"/>
        <sz val="10.0"/>
      </rPr>
      <t>)</t>
    </r>
  </si>
  <si>
    <t>Alfalah Govt. Securities Fund</t>
  </si>
  <si>
    <r>
      <rPr>
        <rFont val="Arial"/>
        <b/>
        <color theme="1"/>
        <sz val="10.0"/>
      </rPr>
      <t>Annualized Yield (</t>
    </r>
    <r>
      <rPr>
        <rFont val="Arial"/>
        <b/>
        <i/>
        <color theme="1"/>
        <sz val="10.0"/>
      </rPr>
      <t>Post Tax</t>
    </r>
    <r>
      <rPr>
        <rFont val="Arial"/>
        <b/>
        <color theme="1"/>
        <sz val="10.0"/>
      </rPr>
      <t>)</t>
    </r>
  </si>
  <si>
    <t>Delta (Net) - Annualized</t>
  </si>
  <si>
    <t>Post Allocation</t>
  </si>
  <si>
    <t>Exisiting Placement (PKR)</t>
  </si>
  <si>
    <t>Alfalah Government Securities Fund Plan II*</t>
  </si>
  <si>
    <t>Alfalah MTS Fund (Formerly: Faysal MTS Fund)*</t>
  </si>
  <si>
    <t>Alfalah Income Multiplier*</t>
  </si>
  <si>
    <t>MCB Investment Saving Plan I*</t>
  </si>
  <si>
    <t>Reallocation</t>
  </si>
  <si>
    <t>MTBs (1Y) *</t>
  </si>
  <si>
    <t>*Expected Rate on the Treasury Bills based on Auction</t>
  </si>
  <si>
    <t>Pre Allocation</t>
  </si>
  <si>
    <t>1W</t>
  </si>
  <si>
    <t>2W</t>
  </si>
  <si>
    <t>1M</t>
  </si>
  <si>
    <t>2M</t>
  </si>
  <si>
    <t>3M</t>
  </si>
  <si>
    <t>4M</t>
  </si>
  <si>
    <t>9M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</si>
  <si>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</si>
  <si>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</si>
  <si>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</si>
  <si>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</si>
  <si>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</si>
  <si>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</si>
  <si>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</si>
  <si>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</si>
  <si>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</si>
  <si>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15Y</t>
  </si>
  <si>
    <t>20Y</t>
  </si>
  <si>
    <t>Timestamp</t>
  </si>
  <si>
    <t>Status</t>
  </si>
  <si>
    <t>No file found</t>
  </si>
  <si>
    <t>OK: PKRV2603202624816.csv (20 tenors)</t>
  </si>
  <si>
    <t>OK: PKRV2703202624821.csv (20 tenors)</t>
  </si>
  <si>
    <t>OK: PKRV2503202624809.csv (20 tenors)</t>
  </si>
  <si>
    <t>OK: PKRV1603202624780.csv (20 tenors)</t>
  </si>
  <si>
    <t>OK: PKRV1703202624785.csv (20 tenors)</t>
  </si>
  <si>
    <t>OK: PKRV0903202624758.csv (20 tenors)</t>
  </si>
  <si>
    <t>OK: PKRV1903202624797.csv (20 tenors)</t>
  </si>
  <si>
    <t>OK: PKRV1003202624762.csv (20 tenors)</t>
  </si>
  <si>
    <t>OK: PKRV1103202624766.csv (20 tenors)</t>
  </si>
  <si>
    <t>OK: PKRV1203202624770.csv (20 tenors)</t>
  </si>
  <si>
    <t>OK: PKRV1303202624775.csv (20 tenors)</t>
  </si>
  <si>
    <t>OK: PKRV2403202624802.csv (20 tenors)</t>
  </si>
  <si>
    <t>Key</t>
  </si>
  <si>
    <t>Value</t>
  </si>
  <si>
    <t>LAST_SERIAL</t>
  </si>
  <si>
    <t>Sector</t>
  </si>
  <si>
    <t>Category</t>
  </si>
  <si>
    <t>Rating</t>
  </si>
  <si>
    <t>NAV</t>
  </si>
  <si>
    <t>YTD</t>
  </si>
  <si>
    <t>MTD</t>
  </si>
  <si>
    <t>1 Day</t>
  </si>
  <si>
    <t>15 Days</t>
  </si>
  <si>
    <t>30 Days</t>
  </si>
  <si>
    <t>90 Days</t>
  </si>
  <si>
    <t>180 Days</t>
  </si>
  <si>
    <t>270 Days</t>
  </si>
  <si>
    <t>365 Days</t>
  </si>
  <si>
    <t>2 Years</t>
  </si>
  <si>
    <t>3 Years</t>
  </si>
  <si>
    <t>Date Fetched</t>
  </si>
  <si>
    <t>Open-End Funds</t>
  </si>
  <si>
    <t>Money Market (Annualized Return )</t>
  </si>
  <si>
    <t>AA+(f)</t>
  </si>
  <si>
    <t>N/A</t>
  </si>
  <si>
    <t>AAA(f)</t>
  </si>
  <si>
    <t>Nil</t>
  </si>
  <si>
    <t>AA(f)</t>
  </si>
  <si>
    <t>Income (Annualized Return )</t>
  </si>
  <si>
    <t>A+(f)</t>
  </si>
  <si>
    <t>AA-(f)</t>
  </si>
  <si>
    <t>A(f)</t>
  </si>
  <si>
    <t>Equity (Absolute Return )</t>
  </si>
  <si>
    <t>ABL Stock Fund</t>
  </si>
  <si>
    <t>AKD Opportunity Fund</t>
  </si>
  <si>
    <t>AL Habib Stock Fund</t>
  </si>
  <si>
    <t>Alfalah GHP Alpha Fund</t>
  </si>
  <si>
    <t>Alfalah GHP Stock Fund</t>
  </si>
  <si>
    <t>Alfalah Stock Fund - II</t>
  </si>
  <si>
    <t>Atlas Dividend Yield Fund</t>
  </si>
  <si>
    <t>Atlas Financial Sector Fund</t>
  </si>
  <si>
    <t>Atlas Stock Market Fund</t>
  </si>
  <si>
    <t>First Capital Mutual Fund</t>
  </si>
  <si>
    <t>Golden Arrow Stock Fund</t>
  </si>
  <si>
    <t>HBL Energy Fund</t>
  </si>
  <si>
    <t>HBL Equity Fund</t>
  </si>
  <si>
    <t>HBL Growth Fund-Class A</t>
  </si>
  <si>
    <t>HBL Growth Fund-Class B</t>
  </si>
  <si>
    <t>HBL Investment Fund-Class A</t>
  </si>
  <si>
    <t>HBL Investment Fund-Class B</t>
  </si>
  <si>
    <t>HBL Stock Fund</t>
  </si>
  <si>
    <t>JS Growth Fund</t>
  </si>
  <si>
    <t>JS Large Cap Fund</t>
  </si>
  <si>
    <t>Lakson Equity Fund</t>
  </si>
  <si>
    <t>MCB Pakistan Stock Market Fund</t>
  </si>
  <si>
    <t>National Investment Unit Trust</t>
  </si>
  <si>
    <t>NBP Financial Sector Fund</t>
  </si>
  <si>
    <t>NBP Stock Fund</t>
  </si>
  <si>
    <t>UBL Financial Sector Fund</t>
  </si>
  <si>
    <t>UBL Stock Advantage Fund</t>
  </si>
  <si>
    <t>Capital Protected (Absolute Return )</t>
  </si>
  <si>
    <t>Capital Protected - Income (Annualized Return )</t>
  </si>
  <si>
    <t>Fixed Rate / Return (Annualized Return )</t>
  </si>
  <si>
    <t>Average three (3) months PKRV Rates</t>
  </si>
  <si>
    <t>Aggressive Fixed Income (Annualized Return )</t>
  </si>
  <si>
    <t>Balanced (Absolute Return )</t>
  </si>
  <si>
    <t>Asset Allocation (Absolute Return )</t>
  </si>
  <si>
    <t>Fund of Funds (Absolute Return )</t>
  </si>
  <si>
    <t>ABL Financial Planning Fund (Conservative Plan)</t>
  </si>
  <si>
    <t>ABL Financial Planning Fund (Strategic Allocation Plan)</t>
  </si>
  <si>
    <t>Alfalah GHP Prosperity Planning Fund (Alfalah GHP Active Allocation Plan)</t>
  </si>
  <si>
    <t>Alfalah GHP Prosperity Planning Fund (Alfalah GHP Conservative Allocation Plan)</t>
  </si>
  <si>
    <t>Alfalah GHP Prosperity Planning Fund (Alfalah GHP Moderate Allocation Plan)</t>
  </si>
  <si>
    <t>Alfalah GHP Prosperity Planning Fund (Capital Preservation Plan IV)</t>
  </si>
  <si>
    <t>Alfalah Strategic Allocation Fund Plan - I</t>
  </si>
  <si>
    <t>JS Fund of Funds</t>
  </si>
  <si>
    <t>Index Tracker (Absolute Return )</t>
  </si>
  <si>
    <t>AKD Index Tracker Fund</t>
  </si>
  <si>
    <t>Shariah Compliant Money Market (Annualized Return )</t>
  </si>
  <si>
    <t>ABL Islamic Cash Fund</t>
  </si>
  <si>
    <t>ABL Islamic Money Market Plan I</t>
  </si>
  <si>
    <t>AKD Islamic Cash Fund</t>
  </si>
  <si>
    <t>Al Ameen Islamic Cash Fund</t>
  </si>
  <si>
    <t>Al Ameen Islamic Cash Plan I</t>
  </si>
  <si>
    <t>AL Habib Islamic Cash Fund</t>
  </si>
  <si>
    <t>AL Habib Islamic Money Market Fund</t>
  </si>
  <si>
    <t>Alfalah GOPB Islamic Pension Fund</t>
  </si>
  <si>
    <t>Alfalah Islamic Money Market Fund</t>
  </si>
  <si>
    <t>Alfalah Islamic Rozana Amdani Fund</t>
  </si>
  <si>
    <t>Alhamra Cash Management Optimizer</t>
  </si>
  <si>
    <t>Alhamra Islamic Money Market Fund</t>
  </si>
  <si>
    <t>Atlas Islamic Cash Fund</t>
  </si>
  <si>
    <t>Atlas Islamic Money Market Fund</t>
  </si>
  <si>
    <t>AWT Islamic Money Market Fund</t>
  </si>
  <si>
    <t>Faysal Halal Amdani Fund</t>
  </si>
  <si>
    <t>Faysal Islamic Cash Fund</t>
  </si>
  <si>
    <t>HBL Islamic Money Market Fund</t>
  </si>
  <si>
    <t>HBL Islamic Savings Plan I</t>
  </si>
  <si>
    <t>JS Islamic Money Market Fund</t>
  </si>
  <si>
    <t>Lakson Islamic Money Market Fund</t>
  </si>
  <si>
    <t>Lucky Islamic Cash Fund</t>
  </si>
  <si>
    <t>Lucky Islamic Money Market Fund</t>
  </si>
  <si>
    <t>Mahaana Islamic Cash Fund</t>
  </si>
  <si>
    <t>Meezan Cash Fund</t>
  </si>
  <si>
    <t>Meezan Islamic Asaan Cash Fund</t>
  </si>
  <si>
    <t>Meezan Rozana Amdani Fund</t>
  </si>
  <si>
    <t>NBP Islamic Daily Dividend Fund</t>
  </si>
  <si>
    <t>NBP Islamic Money Market Fund</t>
  </si>
  <si>
    <t>NIT Islamic Money Market Fund</t>
  </si>
  <si>
    <t>Pak Oman Daily Dividend Fund</t>
  </si>
  <si>
    <t>Pak Qatar Asan Munafa Plan</t>
  </si>
  <si>
    <t>Pak Qatar Cash Plan</t>
  </si>
  <si>
    <t>Pak Qatar Daily Dividend Plan</t>
  </si>
  <si>
    <t>786 Islamic Money Market Fund</t>
  </si>
  <si>
    <t>Shariah Compliant Income (Annualized Return )</t>
  </si>
  <si>
    <t>ABL Islamic Income Fund</t>
  </si>
  <si>
    <t>ABL Islamic Sovereign Plan I</t>
  </si>
  <si>
    <t>AKD Islamic Income Fund</t>
  </si>
  <si>
    <t>Al Ameen Islamic Income Fund</t>
  </si>
  <si>
    <t>Al Ameen Islamic Sovereign Fund</t>
  </si>
  <si>
    <t>AL Habib Islamic Income Fund</t>
  </si>
  <si>
    <t>AL Habib Islamic Savings Fund</t>
  </si>
  <si>
    <t>Alfalah GHP Islamic Income Fund</t>
  </si>
  <si>
    <t>Alfalah Islamic Sovereign Fund (Alfalah Islamic Sovereign Plan I)</t>
  </si>
  <si>
    <t>Alfalah Islamic Sovereign Fund (Alfalah Islamic Sovereign Plan II)</t>
  </si>
  <si>
    <t>Alfalah Islamic Sovereign Fund (Alfalah Islamic Sovereign Plan III)</t>
  </si>
  <si>
    <t>Alhamra Daily Dividend Fund</t>
  </si>
  <si>
    <t>Alhamra Government Securities Plan I</t>
  </si>
  <si>
    <t>Alhamra Islamic Income Fund</t>
  </si>
  <si>
    <t>Atlas Islamic Income Fund</t>
  </si>
  <si>
    <t>AWT Islamic Income Fund</t>
  </si>
  <si>
    <t>Faysal Halal Amdani Fund II</t>
  </si>
  <si>
    <t>Faysal Halal Amdani Fund III</t>
  </si>
  <si>
    <t>Faysal Islamic Savings Growth Fund</t>
  </si>
  <si>
    <t>Faysal Islamic Sovereign Fund (Faysal Islamic Sovereign Plan I)</t>
  </si>
  <si>
    <t>Faysal Islamic Sovereign Fund (Faysal Islamic Sovereign Plan II)</t>
  </si>
  <si>
    <t>Faysal Islamic Special Income Plan I</t>
  </si>
  <si>
    <t>HBL Islamic Income Fund</t>
  </si>
  <si>
    <t>JS Islamic Income Fund</t>
  </si>
  <si>
    <t>Lucky Islamic Income Fund</t>
  </si>
  <si>
    <t>Meezan Daily Income Fund (MDIP I)</t>
  </si>
  <si>
    <t>Meezan Daily Income Fund (Meezan Mahana Munafa Plan)</t>
  </si>
  <si>
    <t>Meezan Daily Income Fund (Meezan Munafa Plan I)</t>
  </si>
  <si>
    <t>Meezan Daily Income Fund (Meezan Sehl Account Plan) (MSHP)</t>
  </si>
  <si>
    <t>Meezan Daily Income Fund (Meezan Super Saver Plan) (MSSP)</t>
  </si>
  <si>
    <t>Meezan Islamic Income Fund</t>
  </si>
  <si>
    <t>Meezan Sovereign Fund</t>
  </si>
  <si>
    <t>NBP Islamic Government Securities Plan III</t>
  </si>
  <si>
    <t>NBP Islamic Income Fund</t>
  </si>
  <si>
    <t>NBP Islamic Mahana Amdani Fund</t>
  </si>
  <si>
    <t>NBP Islamic Savings Fund</t>
  </si>
  <si>
    <t>NBP Riba Free Savings Fund</t>
  </si>
  <si>
    <t>NIT Islamic Income Fund</t>
  </si>
  <si>
    <t>Pak Oman Advantage Islamic Income Fund</t>
  </si>
  <si>
    <t>Pak Qatar Income Plan</t>
  </si>
  <si>
    <t>Pak Qatar Khalis Bachat Plan</t>
  </si>
  <si>
    <t>Pak Qatar Monthly Income Plan</t>
  </si>
  <si>
    <t>786 Smart Fund</t>
  </si>
  <si>
    <t>Shariah Compliant Equity (Absolute Return )</t>
  </si>
  <si>
    <t>ABL Islamic Stock Fund</t>
  </si>
  <si>
    <t>AKD Islamic Stock Fund</t>
  </si>
  <si>
    <t>Al Ameen Islamic Energy Fund</t>
  </si>
  <si>
    <t>Al Ameen Shariah Stock Fund</t>
  </si>
  <si>
    <t>AL Habib Islamic Stock Fund</t>
  </si>
  <si>
    <t>Al Meezan Mutual Fund</t>
  </si>
  <si>
    <t>Alfalah GHP Islamic Stock Fund</t>
  </si>
  <si>
    <t>Alhamra Islamic Stock Fund</t>
  </si>
  <si>
    <t>Alhamra Opportunity Fund (Dividend Strategy Plan)</t>
  </si>
  <si>
    <t>Atlas Islamic Stock Fund</t>
  </si>
  <si>
    <t>AWT Islamic Stock Fund</t>
  </si>
  <si>
    <t>Faysal Islamic Stock Fund</t>
  </si>
  <si>
    <t>Faysal Islamic Stock Fund II</t>
  </si>
  <si>
    <t>HBL Islamic Equity Fund</t>
  </si>
  <si>
    <t>HBL Islamic Stock Fund</t>
  </si>
  <si>
    <t>JS Islamic Fund</t>
  </si>
  <si>
    <t>Lucky Islamic Energy Fund</t>
  </si>
  <si>
    <t>Lucky Islamic Stock Fund</t>
  </si>
  <si>
    <t>Meezan Energy Fund</t>
  </si>
  <si>
    <t>Meezan Islamic Fund</t>
  </si>
  <si>
    <t>NBP Islamic Energy Fund</t>
  </si>
  <si>
    <t>NBP Islamic Stock Fund</t>
  </si>
  <si>
    <t>NIT Islamic Equity Fund</t>
  </si>
  <si>
    <t>Pak Qatar Islamic Stock Fund</t>
  </si>
  <si>
    <t>Shariah Compliant Capital Protected (Absolute Return )</t>
  </si>
  <si>
    <t>Shariah Compliant Fixed Rate / Return (Annualized Return )</t>
  </si>
  <si>
    <t>ABL Islamic Fixed Term Plan V</t>
  </si>
  <si>
    <t>Alfalah Islamic Stable Return Fund Plan XII</t>
  </si>
  <si>
    <t>Alfalah Islamic Stable Return Fund Plan XIII</t>
  </si>
  <si>
    <t>Alhamra Wada Fund (Alhamra Wada Plan XVI)</t>
  </si>
  <si>
    <t>Faysal Islamic Mustakil Munafa Fund (Faysal Islamic Mehdood Muddat Plan I)</t>
  </si>
  <si>
    <t>Faysal Islamic Mustakil Munafa Fund (Faysal Islamic Mehdood Muddat Plan VI)</t>
  </si>
  <si>
    <t>Faysal Islamic Mustakil Munafa Fund (Faysal Islamic Mehdood Muddat Plan XVI)</t>
  </si>
  <si>
    <t>Faysal Islamic Mustakil Munafa Fund (Faysal Islamic Mehdood Muddat Plan XVII)</t>
  </si>
  <si>
    <t>HBL Islamic Fixed Term Fund Plan II</t>
  </si>
  <si>
    <t>Lucky Islamic Fixed Term Fund Plan VII</t>
  </si>
  <si>
    <t>Lucky Islamic Fixed Term Fund Plan XII</t>
  </si>
  <si>
    <t>Lucky Islamic Fixed Term Fund Plan XIII</t>
  </si>
  <si>
    <t>Meezan Paidaar Munafa Plan 34</t>
  </si>
  <si>
    <t>Meezan Paidaar Munafa Plan 37</t>
  </si>
  <si>
    <t>Meezan Paidaar Munafa Plan 38</t>
  </si>
  <si>
    <t>Meezan Paidaar Munafa Plan 39</t>
  </si>
  <si>
    <t>Meezan Paidaar Munafa Plan 41</t>
  </si>
  <si>
    <t>NBP Islamic Fixed Term Munafa Plan IIA (NBP Islamic Mustahkam Fund)</t>
  </si>
  <si>
    <t>NBP Islamic Fixed Term Munafa Plan IVA (NBP Islamic Mustahkam Fund)</t>
  </si>
  <si>
    <t>NBP Islamic Fixed Term Munafa Plan VA (NBP Islamic Mustahkam Fund)</t>
  </si>
  <si>
    <t>NBP Islamic Fixed Term Munafa Plan VIA (NBP Islamic Mustahkam Fund)</t>
  </si>
  <si>
    <t>Shariah Compliant Fund of Funds - CPPI (Absolute Return )</t>
  </si>
  <si>
    <t>ABL Islamic Financial Planning Fund (Capital Preservation Plan I)</t>
  </si>
  <si>
    <t>Shariah Compliant Aggressive Fixed Income (Annualized Return )</t>
  </si>
  <si>
    <t>Shariah Compliant Balanced (Absolute Return )</t>
  </si>
  <si>
    <t>Meezan Balanced Fund</t>
  </si>
  <si>
    <t>Shariah Compliant Asset Allocation (Absolute Return )</t>
  </si>
  <si>
    <t>ABL Islamic Asset Allocation Fund</t>
  </si>
  <si>
    <t>Al Ameen Islamic Asset Allocation Fund</t>
  </si>
  <si>
    <t>Alfalah GHP Islamic Value Fund</t>
  </si>
  <si>
    <t>Alhamra Islamic Asset Allocation Fund</t>
  </si>
  <si>
    <t>AWT Islamic Asset Allocation Fund</t>
  </si>
  <si>
    <t>Faysal Islamic Asset Allocation Fund</t>
  </si>
  <si>
    <t>Faysal Islamic Asset Allocation Fund II</t>
  </si>
  <si>
    <t>Faysal Islamic Asset Allocation Fund III (Faysal Shariah Flex Plan I)</t>
  </si>
  <si>
    <t>Faysal Islamic Asset Allocation Fund III (Faysal Shariah Flex Plan II)</t>
  </si>
  <si>
    <t>Faysal Islamic Asset Allocation Fund III (Faysal Shariah Flex Plan III)</t>
  </si>
  <si>
    <t>HBL Islamic Asset Allocation Fund</t>
  </si>
  <si>
    <t>Lakson Islamic Tactical Fund</t>
  </si>
  <si>
    <t>Meezan Asset Allocation Fund</t>
  </si>
  <si>
    <t>Meezan Dynamic Asset Allocation Fund (Meezan Dividend Yield Plan)</t>
  </si>
  <si>
    <t>NBP Islamic Sarmaya Izafa Fund</t>
  </si>
  <si>
    <t>Pak Oman Islamic Asset Allocation Fund</t>
  </si>
  <si>
    <t>Pak Qatar Asset Allocation Plan I (PQAAP  IA)</t>
  </si>
  <si>
    <t>Pak Qatar Asset Allocation Plan II (PQAAP  IIA)</t>
  </si>
  <si>
    <t>Pak-Qatar Asset Allocation Plan III (PQAAP  IIIA)</t>
  </si>
  <si>
    <t>Shariah Compliant Fund of Funds (Absolute Return )</t>
  </si>
  <si>
    <t>ABL Islamic Financial Planning Fund (Active Allocation Plan)</t>
  </si>
  <si>
    <t>ABL Islamic Financial Planning Fund (Conservative Allocation Plan)</t>
  </si>
  <si>
    <t>Alfalah GHP Islamic Prosperity Planning Fund (Alfalah GHP Islamic Active Allocation Plan II)</t>
  </si>
  <si>
    <t>Alfalah GHP Islamic Prosperity Planning Fund (Alfalah GHP Islamic Balance Allocation Plan)</t>
  </si>
  <si>
    <t>Alfalah GHP Islamic Prosperity Planning Fund (Alfalah GHP Islamic Moderate Allocation Plan)</t>
  </si>
  <si>
    <t>Alfalah KTrade Islamic Plan VII</t>
  </si>
  <si>
    <t>Alhamra Smart Portfolio</t>
  </si>
  <si>
    <t>Atlas Islamic Fund of Funds (Atlas Aggressive Allocation Islamic Plan)</t>
  </si>
  <si>
    <t>Atlas Islamic Fund of Funds (Atlas Conservative Allocation Islamic Plan)</t>
  </si>
  <si>
    <t>Atlas Islamic Fund of Funds (Atlas Moderate Allocation Islamic Plan)</t>
  </si>
  <si>
    <t>Faysal Islamic Financial Planning Fund II (Faysal Priority Ascend Plan I)</t>
  </si>
  <si>
    <t>Faysal Islamic Financial Planning Fund II (Faysal Priority Ascend Plan II)</t>
  </si>
  <si>
    <t>Faysal Islamic Financial Planning Fund II (Faysal Priority Ascend Plan III)</t>
  </si>
  <si>
    <t>Faysal Khushal Mustaqbil Fund (Faysal Barak’ah Women Savers Plan)</t>
  </si>
  <si>
    <t>Faysal Khushal Mustaqbil Fund (Faysal Nu’umah Women Savers Plan)</t>
  </si>
  <si>
    <t>Meezan Financial Planning Fund of Funds (Aggressive)</t>
  </si>
  <si>
    <t>Meezan Financial Planning Fund of Funds (Conservative)</t>
  </si>
  <si>
    <t>Meezan Financial Planning Fund of Funds (MAAP I)</t>
  </si>
  <si>
    <t>Meezan Financial Planning Fund of Funds (Moderate)</t>
  </si>
  <si>
    <t>Meezan Financial Planning Fund of Funds (Very Conservative Allocation Plan)</t>
  </si>
  <si>
    <t>Meezan Strategic Allocation Fund (MSAP I)</t>
  </si>
  <si>
    <t>Meezan Strategic Allocation Fund (MSAP II)</t>
  </si>
  <si>
    <t>Meezan Strategic Allocation Fund (MSAP III)</t>
  </si>
  <si>
    <t>Meezan Strategic Allocation Fund (MSAP IV)</t>
  </si>
  <si>
    <t>Meezan Strategic Allocation Fund (MSAP V)</t>
  </si>
  <si>
    <t>Shariah Compliant Index Tracker (Absolute Return )</t>
  </si>
  <si>
    <t>KSE Meezan Index Fund</t>
  </si>
  <si>
    <t>Shariah Compliant Commodities (Absolute Return )</t>
  </si>
  <si>
    <t>Dedicated Equity Funds</t>
  </si>
  <si>
    <t>Dedicated Equity (Absolute Return )</t>
  </si>
  <si>
    <t>Alfalah GHP Dedicated Equity Fund</t>
  </si>
  <si>
    <t>Shariah Compliant Dedicated Equity (Absolute Return )</t>
  </si>
  <si>
    <t>ABL Islamic Dedicated Stock Fund</t>
  </si>
  <si>
    <t>Alfalah GHP Islamic Dedicated Equity Fund</t>
  </si>
  <si>
    <t>Atlas Islamic Dedicated Stock Fund</t>
  </si>
  <si>
    <t>Faysal Islamic Dedicated Equity Fund</t>
  </si>
  <si>
    <t>Meezan Dedicated Equity Fund</t>
  </si>
  <si>
    <t>Voluntary Pension Scheme (VPS)</t>
  </si>
  <si>
    <t>VPS-Money Market (Annualized Return )</t>
  </si>
  <si>
    <t>ABL Pension Fund</t>
  </si>
  <si>
    <t>AL Habib Pension Fund</t>
  </si>
  <si>
    <t>Alfalah GHP Pension Fund</t>
  </si>
  <si>
    <t>Alfalah Pension Fund - II</t>
  </si>
  <si>
    <t>Atlas Pension Fund</t>
  </si>
  <si>
    <t>HBL Pension Fund</t>
  </si>
  <si>
    <t>JS Pension Savings Fund</t>
  </si>
  <si>
    <t>NAFA Pension Fund</t>
  </si>
  <si>
    <t>NIT Pension Fund</t>
  </si>
  <si>
    <t>Pakistan Pension Fund</t>
  </si>
  <si>
    <t>UBL Retirement Saving Fund</t>
  </si>
  <si>
    <t>VPS-Debt (Annualized Return )</t>
  </si>
  <si>
    <t>VPS-Commodities / Gold (Absolute Return )</t>
  </si>
  <si>
    <t>VPS-Equity (Absolute Return )</t>
  </si>
  <si>
    <t>VPS-Shariah Compliant Money Market (Annualized Return )</t>
  </si>
  <si>
    <t>ABL Islamic Pension Fund</t>
  </si>
  <si>
    <t>Al Ameen Islamic Retirement Savings Fund</t>
  </si>
  <si>
    <t>AL Habib Islamic Pension Fund</t>
  </si>
  <si>
    <t>Alfalah GHP Islamic Pension Fund</t>
  </si>
  <si>
    <t>Alhamra Islamic Pension Fund</t>
  </si>
  <si>
    <t>Atlas Pension Islamic Fund</t>
  </si>
  <si>
    <t>AWT Islamic Pension Fund</t>
  </si>
  <si>
    <t>EFU Hemayah Pension Fund</t>
  </si>
  <si>
    <t>Faysal Islamic Pension Fund</t>
  </si>
  <si>
    <t>HBL Islamic Pension Fund</t>
  </si>
  <si>
    <t>JS Islamic Pension Savings Fund</t>
  </si>
  <si>
    <t>Lucky Islamic Pension Fund</t>
  </si>
  <si>
    <t>Mahaana IGI Islamic Retirement Fund</t>
  </si>
  <si>
    <t>Meezan Tahaffuz Pension Fund</t>
  </si>
  <si>
    <t>NAFA Islamic Pension Fund</t>
  </si>
  <si>
    <t>NIT Islamic Pension Fund</t>
  </si>
  <si>
    <t>Pak Qatar Islamic Pension Fund</t>
  </si>
  <si>
    <t>VPS-Shariah Compliant Debt (Annualized Return )</t>
  </si>
  <si>
    <t>VPS-Shariah Compliant Commodities / Gold (Absolute Return )</t>
  </si>
  <si>
    <t>VPS-Shariah Compliant Equity (Absolute Return )</t>
  </si>
  <si>
    <t>Exchange Traded Fund (ETF)</t>
  </si>
  <si>
    <t>Exchange Traded Fund (Absolute Return )</t>
  </si>
  <si>
    <t>Alfalah Consumer Index Exchange Traded Fund</t>
  </si>
  <si>
    <t>JS Momentum Factor Exchange Traded Fund</t>
  </si>
  <si>
    <t>NBP Pakistan Growth Exchange Traded Fund</t>
  </si>
  <si>
    <t>NIT Pakistan Gateway Exchange Traded Fund</t>
  </si>
  <si>
    <t>UBL Pakistan Enterprise Exchange Traded Fund</t>
  </si>
  <si>
    <t>Exchange Traded Fund (Annualized Return )</t>
  </si>
  <si>
    <t>HBL Total Treasury Exchange Traded Fund</t>
  </si>
  <si>
    <t>Shariah Compliant Exchange Traded Fund (Absolute Return )</t>
  </si>
  <si>
    <t>Mahaana Islamic Index Exchange Traded Fund</t>
  </si>
  <si>
    <t>Meezan Pakistan ETF</t>
  </si>
  <si>
    <t>Employer Pension Funds</t>
  </si>
  <si>
    <t>ABL GOKP Pension Fund</t>
  </si>
  <si>
    <t>AL Habib GOKP Pension Fund</t>
  </si>
  <si>
    <t>Alfalah KPK Employee Pension Fund</t>
  </si>
  <si>
    <t>HBL KPK Pension Fund</t>
  </si>
  <si>
    <t>JS KPK Pension Fund</t>
  </si>
  <si>
    <t>MCB KPK Govt Employees Pension Fund</t>
  </si>
  <si>
    <t>NBP GoKP Pension Fund</t>
  </si>
  <si>
    <t>UBL Voluntary Pension Fund KPK</t>
  </si>
  <si>
    <t>ABL GOPB Pension Fund</t>
  </si>
  <si>
    <t>Alfalah GOPB Pension Fund</t>
  </si>
  <si>
    <t>Atlas Punjab Pension Fund</t>
  </si>
  <si>
    <t>JS Punjab Pension Fund</t>
  </si>
  <si>
    <t>MCB Punjab Pension Fund</t>
  </si>
  <si>
    <t>NBP Punjab Pension Fund</t>
  </si>
  <si>
    <t>NIT KP Pension Fund</t>
  </si>
  <si>
    <t>UBL Punjab Pension Fund</t>
  </si>
  <si>
    <t>ABL GOKP Islamic Pension Fund</t>
  </si>
  <si>
    <t>Al Ameen Voluntary Pension Fund KPK</t>
  </si>
  <si>
    <t>AL Habib GOKP Islamic Pension Fund</t>
  </si>
  <si>
    <t>Alfalah Islamic KPK Employee Pension Fund</t>
  </si>
  <si>
    <t>Atlas KPK Islamic Pension Fund</t>
  </si>
  <si>
    <t>Faysal Islamic KPK Government Pension Fund</t>
  </si>
  <si>
    <t>HBL KPK Islamic Pension Fund</t>
  </si>
  <si>
    <t>JS KPK Islamic Pension Fund</t>
  </si>
  <si>
    <t>Meezan Islamic Government of Punjab Pension Fund</t>
  </si>
  <si>
    <t>NBP GoKP Islamic Pension Fund</t>
  </si>
  <si>
    <t>ABL GOPB Islamic Pension Fund</t>
  </si>
  <si>
    <t>Al Ameen Islamic Punjab Pension Fund</t>
  </si>
  <si>
    <t>Alhamra Islamic Punjab Pension Fund</t>
  </si>
  <si>
    <t>Atlas Punjab Islamic Pension Fund</t>
  </si>
  <si>
    <t>Faysal Islamic Punjab Pension Fund</t>
  </si>
  <si>
    <t>JS Punjab Islamic Pension Fund</t>
  </si>
  <si>
    <t>Lucky Islamic Punjab Pension Fund</t>
  </si>
  <si>
    <t>MCB Alhamra KPK Govt Employees Pension Fund</t>
  </si>
  <si>
    <t>Meezan GOKP Pension Fund</t>
  </si>
  <si>
    <t>NBP Islamic Punjab Pension Fund</t>
  </si>
  <si>
    <t>NIT KP Islamic Pension Fund</t>
  </si>
  <si>
    <t>Pak Qatar GoKP Islamic Pension Fund</t>
  </si>
  <si>
    <t>Pak Qatar GoPB Islamic Pension Fund</t>
  </si>
  <si>
    <t>Sector
                                    Category</t>
  </si>
  <si>
    <t>Validity Date</t>
  </si>
  <si>
    <t>Pak Oman Facility</t>
  </si>
  <si>
    <t>29th December 2025 (Date of Facility Drawdown)</t>
  </si>
  <si>
    <t>Currently Placed</t>
  </si>
  <si>
    <t>KIBOR</t>
  </si>
  <si>
    <t>Credit Line</t>
  </si>
  <si>
    <t>Amount</t>
  </si>
  <si>
    <t>Markup Rate</t>
  </si>
  <si>
    <t>Markup Payment (Annual)</t>
  </si>
  <si>
    <t>Spread</t>
  </si>
  <si>
    <t>Facility Rate</t>
  </si>
  <si>
    <t xml:space="preserve">COI Placement </t>
  </si>
  <si>
    <t>Profit (Monthly)</t>
  </si>
  <si>
    <t>Markup Payment (Net COI return)</t>
  </si>
  <si>
    <t>Reset KIBOR Analysis (Facility Reset Date is 29th March 2026)</t>
  </si>
  <si>
    <t>Reset Facility Rate (will be lock in for next 3 months)</t>
  </si>
  <si>
    <t>Markup Payment - (Quartely)</t>
  </si>
  <si>
    <t>Increase in Markup</t>
  </si>
  <si>
    <t xml:space="preserve"> </t>
  </si>
  <si>
    <t>Short Term Financing Facility - Pak Oman</t>
  </si>
  <si>
    <t>Investments in COIs</t>
  </si>
  <si>
    <t>Facility Amount - (Drawdown)</t>
  </si>
  <si>
    <t xml:space="preserve">Certificate of Investment </t>
  </si>
  <si>
    <t xml:space="preserve">Markup Amount (Finance Cost Pre Tax) </t>
  </si>
  <si>
    <t>Tax Shield Calculation</t>
  </si>
  <si>
    <t>Tax Rate</t>
  </si>
  <si>
    <t>Profit Amount (Post Tax)</t>
  </si>
  <si>
    <t xml:space="preserve">Tax Shield </t>
  </si>
  <si>
    <t>Effective Cost of Borrowing (Post Tax)</t>
  </si>
  <si>
    <t>Net Cost of Borrowing (After Tax)</t>
  </si>
  <si>
    <t>Effective Rate - (Pre Tax)</t>
  </si>
  <si>
    <t>Effective Rate - (Post Tax)</t>
  </si>
  <si>
    <t>Net Payable against Gross COIs Investment Profit</t>
  </si>
  <si>
    <t>Net Payable against Net COIs Investment Profit</t>
  </si>
  <si>
    <t xml:space="preserve">Note: </t>
  </si>
  <si>
    <t>Assumes full tax deductibility of finance cost at 39% effective tax rate.</t>
  </si>
  <si>
    <t>Financial Reporting Liability</t>
  </si>
  <si>
    <t>Markup on Loan</t>
  </si>
  <si>
    <t>Total Liabilities</t>
  </si>
  <si>
    <t>Analysis on the 1 Year MTB Sell</t>
  </si>
  <si>
    <t>Key Assumptions</t>
  </si>
  <si>
    <t>Sell Yield</t>
  </si>
  <si>
    <t>Assumed</t>
  </si>
  <si>
    <t>Reinvestment Yield</t>
  </si>
  <si>
    <t>CGT Rate</t>
  </si>
  <si>
    <t>Market Value (Assumed)</t>
  </si>
  <si>
    <t>Instrument</t>
  </si>
  <si>
    <t>Issue Date</t>
  </si>
  <si>
    <t>Maturity Date</t>
  </si>
  <si>
    <t>Today</t>
  </si>
  <si>
    <t>Days Held</t>
  </si>
  <si>
    <t>Current Value</t>
  </si>
  <si>
    <t>Market Yield</t>
  </si>
  <si>
    <t>Market Value</t>
  </si>
  <si>
    <t>Unrealized Gain/Loss</t>
  </si>
  <si>
    <t>MTB (1Yr)</t>
  </si>
  <si>
    <t>Sell Analysis</t>
  </si>
  <si>
    <t>Book Value</t>
  </si>
  <si>
    <t>Sale Proceeds</t>
  </si>
  <si>
    <t>Cap Gain/Loss</t>
  </si>
  <si>
    <t>Net Proceeds</t>
  </si>
  <si>
    <t>Note:</t>
  </si>
  <si>
    <t xml:space="preserve">No tax will be applicable on the Capital Loss scenario. </t>
  </si>
  <si>
    <t>Reinvestment</t>
  </si>
  <si>
    <t>Total Net Proceeds</t>
  </si>
  <si>
    <t>Projected Accured Interest</t>
  </si>
  <si>
    <t>Prior Portfolio Yield</t>
  </si>
  <si>
    <t>Incremental Yield</t>
  </si>
  <si>
    <t xml:space="preserve">Incremental Income </t>
  </si>
  <si>
    <t>Net Position</t>
  </si>
  <si>
    <t>Particulars</t>
  </si>
  <si>
    <t>Size</t>
  </si>
  <si>
    <t>Period</t>
  </si>
  <si>
    <t>Interest/Return</t>
  </si>
  <si>
    <t>Credit Line (Additional/New)</t>
  </si>
  <si>
    <t>Certificate of Investment</t>
  </si>
  <si>
    <t>W/o leverage</t>
  </si>
  <si>
    <t>W leverage</t>
  </si>
  <si>
    <t>Differential</t>
  </si>
  <si>
    <t>After Tax Return</t>
  </si>
  <si>
    <t>Gross spread</t>
  </si>
  <si>
    <t>Net spread</t>
  </si>
  <si>
    <t xml:space="preserve">*Net spread is calculated at effective tax rate (ETR) </t>
  </si>
  <si>
    <t>Profit on Monthly COIs Placement</t>
  </si>
  <si>
    <t xml:space="preserve">Placement Size </t>
  </si>
  <si>
    <t>Profit Rate</t>
  </si>
  <si>
    <t>Tenure (Monthly Placement)</t>
  </si>
  <si>
    <t>Date of Issue</t>
  </si>
  <si>
    <t>Profit (Pre Tax)</t>
  </si>
  <si>
    <t>Tax @ 20% - (Profit of Debt)</t>
  </si>
  <si>
    <t xml:space="preserve">Profit (After Tax) </t>
  </si>
  <si>
    <t>Payment Received in Two Tranches</t>
  </si>
  <si>
    <t>*Payment received in two tranches as two COIs amounting PKR 650Mn each were placed at 10.05%</t>
  </si>
  <si>
    <t>Total Allocation</t>
  </si>
  <si>
    <t>Current Bank Rate</t>
  </si>
  <si>
    <t>PIB Rate (3 Year)</t>
  </si>
  <si>
    <t>Fund Rate</t>
  </si>
  <si>
    <t>PIB Allocation</t>
  </si>
  <si>
    <t>Bank Allocation</t>
  </si>
  <si>
    <t>Holding Period</t>
  </si>
  <si>
    <t>Easing Scenario (bps)</t>
  </si>
  <si>
    <t>Policy Rate</t>
  </si>
  <si>
    <t>Rate Change (bps)</t>
  </si>
  <si>
    <t>Rate of Return</t>
  </si>
  <si>
    <t>PIB Discount</t>
  </si>
  <si>
    <t>PIB Income</t>
  </si>
  <si>
    <t>Fund Income</t>
  </si>
  <si>
    <t>Bank Income</t>
  </si>
  <si>
    <t>Total Portfolio Yield</t>
  </si>
  <si>
    <t>Gain over Savings</t>
  </si>
  <si>
    <t>Placements</t>
  </si>
  <si>
    <t>Composition</t>
  </si>
  <si>
    <t>Ijarah/Sukuk</t>
  </si>
  <si>
    <t>TFC</t>
  </si>
  <si>
    <t>CPs</t>
  </si>
  <si>
    <t>PIB</t>
  </si>
  <si>
    <t>FV</t>
  </si>
  <si>
    <t>Duration</t>
  </si>
  <si>
    <t>Interest per day</t>
  </si>
  <si>
    <t>Rate 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</si>
</sst>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000"/>
    <numFmt numFmtId="165" formatCode="0.000"/>
    <numFmt numFmtId="166" formatCode="d\-mmm\-yyyy"/>
    <numFmt numFmtId="167" formatCode="dd\-mmm\-yy"/>
    <numFmt numFmtId="168" formatCode="0.000000"/>
    <numFmt numFmtId="169" formatCode="#,##0.0"/>
    <numFmt numFmtId="170" formatCode="mmm d, yyyy"/>
    <numFmt numFmtId="171" formatCode="mmmm&quot; &quot;d&quot;, &quot;yyyy"/>
    <numFmt numFmtId="172" formatCode="d-mmm-yyyy"/>
    <numFmt numFmtId="173" formatCode="[$-409]d\-mmm\-yy"/>
    <numFmt numFmtId="174" formatCode="d-mmm-yyyy h:mm:ss"/>
    <numFmt numFmtId="175" formatCode="dd-mmm-yyyy"/>
    <numFmt numFmtId="176" formatCode="mmm dd, yyyy"/>
    <numFmt numFmtId="177" formatCode="mm/dd/yyyy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0000FF"/>
      <name val="Arial"/>
    </font>
    <font>
      <b/>
      <i/>
      <sz val="10.0"/>
      <color theme="1"/>
      <name val="Arial"/>
    </font>
    <font>
      <i/>
      <sz val="10.0"/>
      <color theme="1"/>
      <name val="Arial"/>
    </font>
    <font>
      <sz val="11.0"/>
      <color theme="1"/>
      <name val="Calibri"/>
    </font>
    <font>
      <i/>
      <sz val="11.0"/>
      <color theme="1"/>
      <name val="Calibri"/>
    </font>
    <font>
      <b/>
      <sz val="10.0"/>
      <color rgb="FF000000"/>
      <name val="Arial"/>
    </font>
    <font>
      <b/>
      <i/>
      <sz val="11.0"/>
      <color theme="1"/>
      <name val="Calibri"/>
    </font>
    <font>
      <b/>
      <sz val="11.0"/>
      <color theme="1"/>
      <name val="Calibri"/>
    </font>
    <font>
      <sz val="10.0"/>
      <color rgb="FF222222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/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u/>
      <sz val="13.0"/>
      <color theme="1"/>
      <name val="Arial"/>
    </font>
    <font>
      <b/>
      <color theme="1"/>
      <name val="Arial"/>
      <scheme val="minor"/>
    </font>
    <font>
      <b/>
      <sz val="10.0"/>
      <color rgb="FF0000FF"/>
      <name val="Arial"/>
    </font>
    <font>
      <color rgb="FF000000"/>
      <name val="Arial"/>
      <scheme val="minor"/>
    </font>
    <font>
      <color rgb="FF0000FF"/>
      <name val="Arial"/>
      <scheme val="minor"/>
    </font>
    <font>
      <b/>
      <u/>
      <sz val="13.0"/>
      <color theme="1"/>
      <name val="Arial"/>
    </font>
    <font>
      <u/>
      <sz val="10.0"/>
      <color theme="1"/>
      <name val="Arial"/>
    </font>
    <font>
      <b/>
      <sz val="10.0"/>
      <color rgb="FFFFFFFF"/>
      <name val="Arial"/>
    </font>
    <font>
      <u/>
      <sz val="10.0"/>
      <color theme="1"/>
      <name val="Arial"/>
    </font>
    <font>
      <b/>
      <u/>
      <sz val="10.0"/>
      <color theme="1"/>
      <name val="Arial"/>
    </font>
    <font>
      <b/>
      <u/>
      <color theme="1"/>
      <name val="Arial"/>
      <scheme val="minor"/>
    </font>
    <font>
      <b/>
      <color rgb="FFFFFFFF"/>
      <name val="Arial"/>
      <scheme val="minor"/>
    </font>
    <font>
      <b/>
      <i/>
      <color theme="1"/>
      <name val="Arial"/>
      <scheme val="minor"/>
    </font>
    <font>
      <color rgb="FF000000"/>
      <name val="Arial"/>
    </font>
    <font>
      <i/>
      <color theme="1"/>
      <name val="Arial"/>
      <scheme val="minor"/>
    </font>
    <font>
      <b/>
      <sz val="11.0"/>
      <color rgb="FF000000"/>
      <name val="Calibri"/>
    </font>
    <font>
      <i/>
      <sz val="9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1A73E8"/>
        <bgColor rgb="FF1A73E8"/>
      </patternFill>
    </fill>
    <fill>
      <patternFill patternType="solid">
        <fgColor rgb="FFE8F0FE"/>
        <bgColor rgb="FFE8F0FE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5">
    <border/>
    <border>
      <left/>
      <right/>
      <top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/>
    </border>
    <border>
      <left style="thin">
        <color rgb="FF000000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/>
      <right/>
      <top/>
    </border>
    <border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3" xfId="0" applyAlignment="1" applyBorder="1" applyFill="1" applyFont="1" applyNumberFormat="1">
      <alignment horizontal="right"/>
    </xf>
    <xf borderId="0" fillId="0" fontId="3" numFmtId="3" xfId="0" applyAlignment="1" applyFont="1" applyNumberFormat="1">
      <alignment horizontal="right"/>
    </xf>
    <xf borderId="0" fillId="0" fontId="2" numFmtId="10" xfId="0" applyFont="1" applyNumberFormat="1"/>
    <xf borderId="0" fillId="0" fontId="2" numFmtId="3" xfId="0" applyFont="1" applyNumberFormat="1"/>
    <xf borderId="0" fillId="0" fontId="2" numFmtId="1" xfId="0" applyFont="1" applyNumberFormat="1"/>
    <xf borderId="0" fillId="0" fontId="2" numFmtId="9" xfId="0" applyFont="1" applyNumberFormat="1"/>
    <xf borderId="0" fillId="0" fontId="2" numFmtId="4" xfId="0" applyAlignment="1" applyFont="1" applyNumberFormat="1">
      <alignment horizontal="right"/>
    </xf>
    <xf borderId="1" fillId="3" fontId="3" numFmtId="3" xfId="0" applyAlignment="1" applyBorder="1" applyFill="1" applyFont="1" applyNumberFormat="1">
      <alignment horizontal="right"/>
    </xf>
    <xf borderId="1" fillId="2" fontId="3" numFmtId="3" xfId="0" applyBorder="1" applyFont="1" applyNumberFormat="1"/>
    <xf borderId="1" fillId="2" fontId="4" numFmtId="3" xfId="0" applyBorder="1" applyFont="1" applyNumberFormat="1"/>
    <xf borderId="0" fillId="0" fontId="3" numFmtId="0" xfId="0" applyFont="1"/>
    <xf borderId="1" fillId="4" fontId="2" numFmtId="3" xfId="0" applyBorder="1" applyFill="1" applyFont="1" applyNumberFormat="1"/>
    <xf borderId="1" fillId="2" fontId="3" numFmtId="0" xfId="0" applyBorder="1" applyFont="1"/>
    <xf borderId="0" fillId="0" fontId="2" numFmtId="2" xfId="0" applyFont="1" applyNumberFormat="1"/>
    <xf borderId="0" fillId="0" fontId="1" numFmtId="2" xfId="0" applyFont="1" applyNumberFormat="1"/>
    <xf borderId="2" fillId="0" fontId="2" numFmtId="3" xfId="0" applyBorder="1" applyFont="1" applyNumberFormat="1"/>
    <xf borderId="2" fillId="0" fontId="2" numFmtId="9" xfId="0" applyBorder="1" applyFont="1" applyNumberFormat="1"/>
    <xf borderId="2" fillId="0" fontId="2" numFmtId="10" xfId="0" applyBorder="1" applyFont="1" applyNumberFormat="1"/>
    <xf borderId="2" fillId="0" fontId="2" numFmtId="2" xfId="0" applyBorder="1" applyFont="1" applyNumberFormat="1"/>
    <xf borderId="2" fillId="0" fontId="2" numFmtId="1" xfId="0" applyBorder="1" applyFont="1" applyNumberFormat="1"/>
    <xf borderId="0" fillId="0" fontId="2" numFmtId="4" xfId="0" applyFont="1" applyNumberFormat="1"/>
    <xf borderId="0" fillId="0" fontId="2" numFmtId="164" xfId="0" applyFont="1" applyNumberFormat="1"/>
    <xf borderId="0" fillId="0" fontId="5" numFmtId="0" xfId="0" applyFont="1"/>
    <xf borderId="0" fillId="0" fontId="6" numFmtId="0" xfId="0" applyFont="1"/>
    <xf borderId="1" fillId="2" fontId="7" numFmtId="10" xfId="0" applyAlignment="1" applyBorder="1" applyFont="1" applyNumberFormat="1">
      <alignment horizontal="right"/>
    </xf>
    <xf borderId="1" fillId="2" fontId="8" numFmtId="3" xfId="0" applyAlignment="1" applyBorder="1" applyFont="1" applyNumberFormat="1">
      <alignment horizontal="right"/>
    </xf>
    <xf borderId="1" fillId="2" fontId="7" numFmtId="3" xfId="0" applyBorder="1" applyFont="1" applyNumberFormat="1"/>
    <xf borderId="0" fillId="0" fontId="9" numFmtId="0" xfId="0" applyAlignment="1" applyFont="1">
      <alignment horizontal="center" shrinkToFit="0" wrapText="1"/>
    </xf>
    <xf borderId="0" fillId="0" fontId="2" numFmtId="10" xfId="0" applyAlignment="1" applyFont="1" applyNumberFormat="1">
      <alignment horizontal="right"/>
    </xf>
    <xf borderId="0" fillId="0" fontId="2" numFmtId="3" xfId="0" applyAlignment="1" applyFont="1" applyNumberFormat="1">
      <alignment horizontal="left" shrinkToFit="0" vertical="top" wrapText="1"/>
    </xf>
    <xf borderId="0" fillId="0" fontId="3" numFmtId="3" xfId="0" applyAlignment="1" applyFont="1" applyNumberFormat="1">
      <alignment horizontal="right" shrinkToFit="0" wrapText="1"/>
    </xf>
    <xf borderId="0" fillId="0" fontId="1" numFmtId="10" xfId="0" applyFont="1" applyNumberFormat="1"/>
    <xf borderId="1" fillId="2" fontId="2" numFmtId="0" xfId="0" applyBorder="1" applyFont="1"/>
    <xf borderId="1" fillId="2" fontId="2" numFmtId="3" xfId="0" applyAlignment="1" applyBorder="1" applyFont="1" applyNumberFormat="1">
      <alignment horizontal="right"/>
    </xf>
    <xf borderId="1" fillId="2" fontId="2" numFmtId="10" xfId="0" applyAlignment="1" applyBorder="1" applyFont="1" applyNumberFormat="1">
      <alignment horizontal="right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wrapText="1"/>
    </xf>
    <xf borderId="0" fillId="0" fontId="3" numFmtId="3" xfId="0" applyAlignment="1" applyFont="1" applyNumberFormat="1">
      <alignment shrinkToFit="0" wrapText="1"/>
    </xf>
    <xf borderId="1" fillId="2" fontId="10" numFmtId="0" xfId="0" applyBorder="1" applyFont="1"/>
    <xf borderId="1" fillId="2" fontId="5" numFmtId="0" xfId="0" applyBorder="1" applyFont="1"/>
    <xf borderId="1" fillId="2" fontId="7" numFmtId="0" xfId="0" applyBorder="1" applyFont="1"/>
    <xf borderId="1" fillId="2" fontId="7" numFmtId="0" xfId="0" applyAlignment="1" applyBorder="1" applyFont="1">
      <alignment horizontal="right"/>
    </xf>
    <xf borderId="1" fillId="2" fontId="2" numFmtId="0" xfId="0" applyAlignment="1" applyBorder="1" applyFont="1">
      <alignment horizontal="right"/>
    </xf>
    <xf borderId="1" fillId="2" fontId="11" numFmtId="0" xfId="0" applyBorder="1" applyFont="1"/>
    <xf borderId="1" fillId="2" fontId="1" numFmtId="0" xfId="0" applyBorder="1" applyFont="1"/>
    <xf borderId="1" fillId="2" fontId="11" numFmtId="0" xfId="0" applyAlignment="1" applyBorder="1" applyFont="1">
      <alignment horizontal="right"/>
    </xf>
    <xf borderId="1" fillId="2" fontId="2" numFmtId="165" xfId="0" applyAlignment="1" applyBorder="1" applyFont="1" applyNumberFormat="1">
      <alignment horizontal="right"/>
    </xf>
    <xf borderId="1" fillId="5" fontId="2" numFmtId="0" xfId="0" applyBorder="1" applyFill="1" applyFont="1"/>
    <xf borderId="1" fillId="5" fontId="7" numFmtId="10" xfId="0" applyAlignment="1" applyBorder="1" applyFont="1" applyNumberFormat="1">
      <alignment horizontal="right"/>
    </xf>
    <xf borderId="1" fillId="5" fontId="2" numFmtId="10" xfId="0" applyAlignment="1" applyBorder="1" applyFont="1" applyNumberFormat="1">
      <alignment horizontal="right"/>
    </xf>
    <xf borderId="1" fillId="5" fontId="2" numFmtId="0" xfId="0" applyAlignment="1" applyBorder="1" applyFont="1">
      <alignment horizontal="right"/>
    </xf>
    <xf borderId="1" fillId="5" fontId="2" numFmtId="165" xfId="0" applyAlignment="1" applyBorder="1" applyFont="1" applyNumberFormat="1">
      <alignment horizontal="right"/>
    </xf>
    <xf borderId="1" fillId="2" fontId="2" numFmtId="2" xfId="0" applyAlignment="1" applyBorder="1" applyFont="1" applyNumberFormat="1">
      <alignment horizontal="right"/>
    </xf>
    <xf borderId="1" fillId="5" fontId="2" numFmtId="10" xfId="0" applyBorder="1" applyFont="1" applyNumberFormat="1"/>
    <xf borderId="1" fillId="2" fontId="11" numFmtId="10" xfId="0" applyAlignment="1" applyBorder="1" applyFont="1" applyNumberFormat="1">
      <alignment horizontal="right"/>
    </xf>
    <xf borderId="1" fillId="2" fontId="10" numFmtId="10" xfId="0" applyAlignment="1" applyBorder="1" applyFont="1" applyNumberFormat="1">
      <alignment horizontal="right"/>
    </xf>
    <xf borderId="1" fillId="2" fontId="2" numFmtId="3" xfId="0" applyBorder="1" applyFont="1" applyNumberFormat="1"/>
    <xf borderId="3" fillId="2" fontId="10" numFmtId="164" xfId="0" applyAlignment="1" applyBorder="1" applyFont="1" applyNumberFormat="1">
      <alignment horizontal="right"/>
    </xf>
    <xf borderId="1" fillId="6" fontId="5" numFmtId="10" xfId="0" applyAlignment="1" applyBorder="1" applyFill="1" applyFont="1" applyNumberFormat="1">
      <alignment horizontal="right"/>
    </xf>
    <xf borderId="0" fillId="0" fontId="5" numFmtId="0" xfId="0" applyAlignment="1" applyFont="1">
      <alignment horizontal="right"/>
    </xf>
    <xf borderId="1" fillId="2" fontId="2" numFmtId="10" xfId="0" applyBorder="1" applyFont="1" applyNumberFormat="1"/>
    <xf borderId="1" fillId="2" fontId="2" numFmtId="2" xfId="0" applyBorder="1" applyFont="1" applyNumberFormat="1"/>
    <xf borderId="0" fillId="0" fontId="6" numFmtId="3" xfId="0" applyFont="1" applyNumberFormat="1"/>
    <xf borderId="0" fillId="0" fontId="6" numFmtId="10" xfId="0" applyFont="1" applyNumberFormat="1"/>
    <xf borderId="1" fillId="2" fontId="1" numFmtId="165" xfId="0" applyAlignment="1" applyBorder="1" applyFont="1" applyNumberFormat="1">
      <alignment horizontal="right"/>
    </xf>
    <xf borderId="1" fillId="5" fontId="2" numFmtId="3" xfId="0" applyBorder="1" applyFont="1" applyNumberFormat="1"/>
    <xf borderId="1" fillId="2" fontId="2" numFmtId="1" xfId="0" applyBorder="1" applyFont="1" applyNumberFormat="1"/>
    <xf borderId="4" fillId="0" fontId="2" numFmtId="3" xfId="0" applyBorder="1" applyFont="1" applyNumberFormat="1"/>
    <xf borderId="0" fillId="0" fontId="1" numFmtId="3" xfId="0" applyFont="1" applyNumberFormat="1"/>
    <xf borderId="1" fillId="2" fontId="2" numFmtId="14" xfId="0" applyBorder="1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2" fontId="2" numFmtId="4" xfId="0" applyAlignment="1" applyBorder="1" applyFont="1" applyNumberFormat="1">
      <alignment horizontal="right"/>
    </xf>
    <xf borderId="1" fillId="7" fontId="2" numFmtId="0" xfId="0" applyBorder="1" applyFill="1" applyFont="1"/>
    <xf borderId="1" fillId="7" fontId="3" numFmtId="0" xfId="0" applyBorder="1" applyFont="1"/>
    <xf borderId="1" fillId="7" fontId="3" numFmtId="10" xfId="0" applyAlignment="1" applyBorder="1" applyFont="1" applyNumberFormat="1">
      <alignment horizontal="right"/>
    </xf>
    <xf borderId="1" fillId="7" fontId="2" numFmtId="2" xfId="0" applyBorder="1" applyFont="1" applyNumberFormat="1"/>
    <xf borderId="1" fillId="7" fontId="3" numFmtId="4" xfId="0" applyAlignment="1" applyBorder="1" applyFont="1" applyNumberFormat="1">
      <alignment horizontal="right"/>
    </xf>
    <xf borderId="1" fillId="3" fontId="2" numFmtId="0" xfId="0" applyBorder="1" applyFont="1"/>
    <xf borderId="1" fillId="3" fontId="2" numFmtId="10" xfId="0" applyAlignment="1" applyBorder="1" applyFont="1" applyNumberFormat="1">
      <alignment horizontal="right"/>
    </xf>
    <xf borderId="1" fillId="3" fontId="2" numFmtId="2" xfId="0" applyBorder="1" applyFont="1" applyNumberFormat="1"/>
    <xf borderId="1" fillId="3" fontId="2" numFmtId="4" xfId="0" applyAlignment="1" applyBorder="1" applyFont="1" applyNumberFormat="1">
      <alignment horizontal="right"/>
    </xf>
    <xf borderId="1" fillId="2" fontId="3" numFmtId="10" xfId="0" applyBorder="1" applyFont="1" applyNumberFormat="1"/>
    <xf borderId="1" fillId="2" fontId="5" numFmtId="10" xfId="0" applyAlignment="1" applyBorder="1" applyFont="1" applyNumberFormat="1">
      <alignment horizontal="right"/>
    </xf>
    <xf borderId="3" fillId="2" fontId="5" numFmtId="10" xfId="0" applyAlignment="1" applyBorder="1" applyFont="1" applyNumberFormat="1">
      <alignment horizontal="right"/>
    </xf>
    <xf borderId="3" fillId="2" fontId="5" numFmtId="3" xfId="0" applyAlignment="1" applyBorder="1" applyFont="1" applyNumberFormat="1">
      <alignment horizontal="right"/>
    </xf>
    <xf borderId="3" fillId="2" fontId="5" numFmtId="1" xfId="0" applyAlignment="1" applyBorder="1" applyFont="1" applyNumberFormat="1">
      <alignment horizontal="right"/>
    </xf>
    <xf borderId="3" fillId="2" fontId="1" numFmtId="10" xfId="0" applyAlignment="1" applyBorder="1" applyFont="1" applyNumberFormat="1">
      <alignment horizontal="right"/>
    </xf>
    <xf borderId="3" fillId="2" fontId="2" numFmtId="0" xfId="0" applyBorder="1" applyFont="1"/>
    <xf borderId="3" fillId="2" fontId="2" numFmtId="4" xfId="0" applyAlignment="1" applyBorder="1" applyFont="1" applyNumberFormat="1">
      <alignment horizontal="right"/>
    </xf>
    <xf borderId="1" fillId="2" fontId="9" numFmtId="0" xfId="0" applyBorder="1" applyFont="1"/>
    <xf borderId="5" fillId="2" fontId="9" numFmtId="0" xfId="0" applyBorder="1" applyFont="1"/>
    <xf borderId="5" fillId="2" fontId="9" numFmtId="166" xfId="0" applyAlignment="1" applyBorder="1" applyFont="1" applyNumberFormat="1">
      <alignment horizontal="center"/>
    </xf>
    <xf borderId="1" fillId="2" fontId="12" numFmtId="0" xfId="0" applyBorder="1" applyFont="1"/>
    <xf borderId="1" fillId="2" fontId="12" numFmtId="3" xfId="0" applyBorder="1" applyFont="1" applyNumberFormat="1"/>
    <xf borderId="6" fillId="2" fontId="3" numFmtId="0" xfId="0" applyBorder="1" applyFont="1"/>
    <xf borderId="7" fillId="2" fontId="3" numFmtId="10" xfId="0" applyAlignment="1" applyBorder="1" applyFont="1" applyNumberFormat="1">
      <alignment horizontal="right"/>
    </xf>
    <xf borderId="1" fillId="2" fontId="12" numFmtId="2" xfId="0" applyBorder="1" applyFont="1" applyNumberFormat="1"/>
    <xf borderId="8" fillId="8" fontId="3" numFmtId="0" xfId="0" applyBorder="1" applyFill="1" applyFont="1"/>
    <xf borderId="9" fillId="8" fontId="3" numFmtId="10" xfId="0" applyAlignment="1" applyBorder="1" applyFont="1" applyNumberFormat="1">
      <alignment horizontal="right"/>
    </xf>
    <xf borderId="8" fillId="2" fontId="3" numFmtId="0" xfId="0" applyBorder="1" applyFont="1"/>
    <xf borderId="9" fillId="2" fontId="3" numFmtId="10" xfId="0" applyAlignment="1" applyBorder="1" applyFont="1" applyNumberFormat="1">
      <alignment horizontal="right"/>
    </xf>
    <xf borderId="1" fillId="2" fontId="3" numFmtId="9" xfId="0" applyBorder="1" applyFont="1" applyNumberFormat="1"/>
    <xf borderId="1" fillId="2" fontId="2" numFmtId="9" xfId="0" applyBorder="1" applyFont="1" applyNumberFormat="1"/>
    <xf borderId="1" fillId="2" fontId="2" numFmtId="4" xfId="0" applyBorder="1" applyFont="1" applyNumberFormat="1"/>
    <xf borderId="1" fillId="2" fontId="12" numFmtId="10" xfId="0" applyBorder="1" applyFont="1" applyNumberFormat="1"/>
    <xf borderId="1" fillId="2" fontId="3" numFmtId="4" xfId="0" applyBorder="1" applyFont="1" applyNumberFormat="1"/>
    <xf borderId="1" fillId="2" fontId="13" numFmtId="0" xfId="0" applyBorder="1" applyFont="1"/>
    <xf borderId="1" fillId="2" fontId="9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right"/>
    </xf>
    <xf borderId="1" fillId="2" fontId="3" numFmtId="0" xfId="0" applyAlignment="1" applyBorder="1" applyFont="1">
      <alignment horizontal="center"/>
    </xf>
    <xf borderId="1" fillId="2" fontId="3" numFmtId="167" xfId="0" applyAlignment="1" applyBorder="1" applyFont="1" applyNumberFormat="1">
      <alignment horizontal="center"/>
    </xf>
    <xf borderId="1" fillId="2" fontId="3" numFmtId="10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165" xfId="0" applyAlignment="1" applyFont="1" applyNumberFormat="1">
      <alignment horizontal="right"/>
    </xf>
    <xf borderId="1" fillId="2" fontId="3" numFmtId="15" xfId="0" applyAlignment="1" applyBorder="1" applyFont="1" applyNumberFormat="1">
      <alignment horizontal="center"/>
    </xf>
    <xf borderId="10" fillId="2" fontId="14" numFmtId="0" xfId="0" applyBorder="1" applyFont="1"/>
    <xf borderId="11" fillId="0" fontId="15" numFmtId="0" xfId="0" applyBorder="1" applyFont="1"/>
    <xf borderId="12" fillId="0" fontId="16" numFmtId="0" xfId="0" applyBorder="1" applyFont="1"/>
    <xf borderId="12" fillId="0" fontId="16" numFmtId="0" xfId="0" applyAlignment="1" applyBorder="1" applyFont="1">
      <alignment readingOrder="0"/>
    </xf>
    <xf borderId="0" fillId="0" fontId="16" numFmtId="0" xfId="0" applyFont="1"/>
    <xf borderId="0" fillId="0" fontId="16" numFmtId="10" xfId="0" applyFont="1" applyNumberFormat="1"/>
    <xf borderId="0" fillId="0" fontId="17" numFmtId="0" xfId="0" applyFont="1"/>
    <xf borderId="12" fillId="0" fontId="17" numFmtId="0" xfId="0" applyBorder="1" applyFont="1"/>
    <xf borderId="0" fillId="0" fontId="18" numFmtId="10" xfId="0" applyFont="1" applyNumberFormat="1"/>
    <xf borderId="0" fillId="0" fontId="17" numFmtId="10" xfId="0" applyFont="1" applyNumberFormat="1"/>
    <xf borderId="12" fillId="2" fontId="16" numFmtId="0" xfId="0" applyBorder="1" applyFont="1"/>
    <xf borderId="12" fillId="2" fontId="19" numFmtId="0" xfId="0" applyAlignment="1" applyBorder="1" applyFont="1">
      <alignment readingOrder="0"/>
    </xf>
    <xf borderId="12" fillId="2" fontId="1" numFmtId="3" xfId="0" applyAlignment="1" applyBorder="1" applyFont="1" applyNumberFormat="1">
      <alignment readingOrder="0"/>
    </xf>
    <xf borderId="12" fillId="2" fontId="1" numFmtId="0" xfId="0" applyBorder="1" applyFont="1"/>
    <xf borderId="12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 readingOrder="0"/>
    </xf>
    <xf borderId="12" fillId="2" fontId="20" numFmtId="0" xfId="0" applyAlignment="1" applyBorder="1" applyFont="1">
      <alignment readingOrder="0"/>
    </xf>
    <xf borderId="12" fillId="9" fontId="1" numFmtId="0" xfId="0" applyBorder="1" applyFill="1" applyFont="1"/>
    <xf borderId="12" fillId="9" fontId="1" numFmtId="0" xfId="0" applyAlignment="1" applyBorder="1" applyFont="1">
      <alignment horizontal="center" readingOrder="0"/>
    </xf>
    <xf borderId="12" fillId="9" fontId="20" numFmtId="0" xfId="0" applyAlignment="1" applyBorder="1" applyFont="1">
      <alignment horizontal="center" readingOrder="0"/>
    </xf>
    <xf borderId="12" fillId="9" fontId="1" numFmtId="0" xfId="0" applyAlignment="1" applyBorder="1" applyFont="1">
      <alignment horizontal="center"/>
    </xf>
    <xf borderId="12" fillId="9" fontId="20" numFmtId="0" xfId="0" applyAlignment="1" applyBorder="1" applyFont="1">
      <alignment readingOrder="0"/>
    </xf>
    <xf borderId="12" fillId="9" fontId="1" numFmtId="0" xfId="0" applyAlignment="1" applyBorder="1" applyFont="1">
      <alignment horizontal="right" readingOrder="0"/>
    </xf>
    <xf borderId="12" fillId="2" fontId="2" numFmtId="0" xfId="0" applyBorder="1" applyFont="1"/>
    <xf borderId="12" fillId="2" fontId="4" numFmtId="3" xfId="0" applyAlignment="1" applyBorder="1" applyFont="1" applyNumberFormat="1">
      <alignment horizontal="center" readingOrder="0"/>
    </xf>
    <xf borderId="12" fillId="2" fontId="3" numFmtId="3" xfId="0" applyAlignment="1" applyBorder="1" applyFont="1" applyNumberFormat="1">
      <alignment horizontal="center"/>
    </xf>
    <xf borderId="12" fillId="2" fontId="16" numFmtId="3" xfId="0" applyAlignment="1" applyBorder="1" applyFont="1" applyNumberFormat="1">
      <alignment horizontal="center"/>
    </xf>
    <xf borderId="12" fillId="2" fontId="3" numFmtId="15" xfId="0" applyAlignment="1" applyBorder="1" applyFont="1" applyNumberFormat="1">
      <alignment horizontal="center"/>
    </xf>
    <xf borderId="12" fillId="2" fontId="16" numFmtId="0" xfId="0" applyAlignment="1" applyBorder="1" applyFont="1">
      <alignment horizontal="center"/>
    </xf>
    <xf borderId="12" fillId="2" fontId="16" numFmtId="10" xfId="0" applyAlignment="1" applyBorder="1" applyFont="1" applyNumberFormat="1">
      <alignment horizontal="center"/>
    </xf>
    <xf borderId="12" fillId="2" fontId="4" numFmtId="10" xfId="0" applyAlignment="1" applyBorder="1" applyFont="1" applyNumberFormat="1">
      <alignment horizontal="center"/>
    </xf>
    <xf borderId="12" fillId="2" fontId="2" numFmtId="10" xfId="0" applyAlignment="1" applyBorder="1" applyFont="1" applyNumberFormat="1">
      <alignment horizontal="center"/>
    </xf>
    <xf borderId="12" fillId="2" fontId="2" numFmtId="1" xfId="0" applyAlignment="1" applyBorder="1" applyFont="1" applyNumberFormat="1">
      <alignment horizontal="center"/>
    </xf>
    <xf borderId="12" fillId="2" fontId="16" numFmtId="4" xfId="0" applyAlignment="1" applyBorder="1" applyFont="1" applyNumberFormat="1">
      <alignment horizontal="center"/>
    </xf>
    <xf borderId="12" fillId="2" fontId="16" numFmtId="168" xfId="0" applyAlignment="1" applyBorder="1" applyFont="1" applyNumberFormat="1">
      <alignment horizontal="center"/>
    </xf>
    <xf borderId="12" fillId="2" fontId="16" numFmtId="0" xfId="0" applyAlignment="1" applyBorder="1" applyFont="1">
      <alignment readingOrder="0"/>
    </xf>
    <xf borderId="12" fillId="2" fontId="16" numFmtId="10" xfId="0" applyAlignment="1" applyBorder="1" applyFont="1" applyNumberFormat="1">
      <alignment readingOrder="0"/>
    </xf>
    <xf borderId="12" fillId="2" fontId="16" numFmtId="3" xfId="0" applyBorder="1" applyFont="1" applyNumberFormat="1"/>
    <xf borderId="12" fillId="2" fontId="16" numFmtId="166" xfId="0" applyAlignment="1" applyBorder="1" applyFont="1" applyNumberFormat="1">
      <alignment readingOrder="0"/>
    </xf>
    <xf borderId="12" fillId="2" fontId="16" numFmtId="166" xfId="0" applyBorder="1" applyFont="1" applyNumberFormat="1"/>
    <xf borderId="12" fillId="2" fontId="4" numFmtId="10" xfId="0" applyAlignment="1" applyBorder="1" applyFont="1" applyNumberFormat="1">
      <alignment horizontal="center" readingOrder="0"/>
    </xf>
    <xf borderId="12" fillId="2" fontId="16" numFmtId="1" xfId="0" applyAlignment="1" applyBorder="1" applyFont="1" applyNumberFormat="1">
      <alignment horizontal="center"/>
    </xf>
    <xf borderId="12" fillId="2" fontId="2" numFmtId="0" xfId="0" applyAlignment="1" applyBorder="1" applyFont="1">
      <alignment readingOrder="0"/>
    </xf>
    <xf borderId="12" fillId="2" fontId="3" numFmtId="3" xfId="0" applyAlignment="1" applyBorder="1" applyFont="1" applyNumberFormat="1">
      <alignment horizontal="center" readingOrder="0"/>
    </xf>
    <xf borderId="12" fillId="10" fontId="16" numFmtId="10" xfId="0" applyAlignment="1" applyBorder="1" applyFill="1" applyFont="1" applyNumberFormat="1">
      <alignment horizontal="center"/>
    </xf>
    <xf borderId="12" fillId="2" fontId="16" numFmtId="10" xfId="0" applyAlignment="1" applyBorder="1" applyFont="1" applyNumberFormat="1">
      <alignment horizontal="center" readingOrder="0"/>
    </xf>
    <xf borderId="12" fillId="2" fontId="16" numFmtId="1" xfId="0" applyAlignment="1" applyBorder="1" applyFont="1" applyNumberFormat="1">
      <alignment horizontal="center" readingOrder="0"/>
    </xf>
    <xf borderId="12" fillId="2" fontId="3" numFmtId="0" xfId="0" applyAlignment="1" applyBorder="1" applyFont="1">
      <alignment readingOrder="0"/>
    </xf>
    <xf borderId="12" fillId="2" fontId="3" numFmtId="15" xfId="0" applyAlignment="1" applyBorder="1" applyFont="1" applyNumberFormat="1">
      <alignment horizontal="center" readingOrder="0"/>
    </xf>
    <xf borderId="12" fillId="10" fontId="16" numFmtId="10" xfId="0" applyAlignment="1" applyBorder="1" applyFont="1" applyNumberFormat="1">
      <alignment horizontal="center" readingOrder="0"/>
    </xf>
    <xf borderId="12" fillId="6" fontId="21" numFmtId="10" xfId="0" applyAlignment="1" applyBorder="1" applyFont="1" applyNumberFormat="1">
      <alignment horizontal="center" readingOrder="0"/>
    </xf>
    <xf borderId="12" fillId="2" fontId="3" numFmtId="0" xfId="0" applyBorder="1" applyFont="1"/>
    <xf borderId="12" fillId="2" fontId="4" numFmtId="3" xfId="0" applyAlignment="1" applyBorder="1" applyFont="1" applyNumberFormat="1">
      <alignment horizontal="center"/>
    </xf>
    <xf borderId="12" fillId="11" fontId="16" numFmtId="10" xfId="0" applyAlignment="1" applyBorder="1" applyFill="1" applyFont="1" applyNumberFormat="1">
      <alignment horizontal="center"/>
    </xf>
    <xf borderId="12" fillId="6" fontId="21" numFmtId="10" xfId="0" applyAlignment="1" applyBorder="1" applyFont="1" applyNumberFormat="1">
      <alignment horizontal="center"/>
    </xf>
    <xf borderId="12" fillId="2" fontId="16" numFmtId="3" xfId="0" applyAlignment="1" applyBorder="1" applyFont="1" applyNumberFormat="1">
      <alignment horizontal="center" readingOrder="0"/>
    </xf>
    <xf borderId="12" fillId="2" fontId="22" numFmtId="10" xfId="0" applyAlignment="1" applyBorder="1" applyFont="1" applyNumberFormat="1">
      <alignment horizontal="center" readingOrder="0"/>
    </xf>
    <xf borderId="12" fillId="6" fontId="23" numFmtId="2" xfId="0" applyAlignment="1" applyBorder="1" applyFont="1" applyNumberFormat="1">
      <alignment horizontal="center" readingOrder="0"/>
    </xf>
    <xf borderId="12" fillId="2" fontId="22" numFmtId="4" xfId="0" applyAlignment="1" applyBorder="1" applyFont="1" applyNumberFormat="1">
      <alignment horizontal="center" readingOrder="0"/>
    </xf>
    <xf borderId="12" fillId="2" fontId="23" numFmtId="3" xfId="0" applyAlignment="1" applyBorder="1" applyFont="1" applyNumberFormat="1">
      <alignment horizontal="center" readingOrder="0"/>
    </xf>
    <xf borderId="12" fillId="6" fontId="16" numFmtId="10" xfId="0" applyAlignment="1" applyBorder="1" applyFont="1" applyNumberFormat="1">
      <alignment horizontal="center"/>
    </xf>
    <xf borderId="13" fillId="2" fontId="2" numFmtId="0" xfId="0" applyBorder="1" applyFont="1"/>
    <xf borderId="13" fillId="2" fontId="4" numFmtId="3" xfId="0" applyAlignment="1" applyBorder="1" applyFont="1" applyNumberFormat="1">
      <alignment horizontal="center"/>
    </xf>
    <xf borderId="13" fillId="2" fontId="3" numFmtId="3" xfId="0" applyAlignment="1" applyBorder="1" applyFont="1" applyNumberFormat="1">
      <alignment horizontal="center"/>
    </xf>
    <xf borderId="13" fillId="2" fontId="3" numFmtId="3" xfId="0" applyAlignment="1" applyBorder="1" applyFont="1" applyNumberFormat="1">
      <alignment horizontal="center" readingOrder="0"/>
    </xf>
    <xf borderId="13" fillId="2" fontId="3" numFmtId="15" xfId="0" applyAlignment="1" applyBorder="1" applyFont="1" applyNumberFormat="1">
      <alignment horizontal="center" readingOrder="0"/>
    </xf>
    <xf borderId="13" fillId="2" fontId="3" numFmtId="15" xfId="0" applyAlignment="1" applyBorder="1" applyFont="1" applyNumberFormat="1">
      <alignment horizontal="center"/>
    </xf>
    <xf borderId="13" fillId="10" fontId="16" numFmtId="10" xfId="0" applyAlignment="1" applyBorder="1" applyFont="1" applyNumberFormat="1">
      <alignment horizontal="center"/>
    </xf>
    <xf borderId="13" fillId="2" fontId="4" numFmtId="10" xfId="0" applyAlignment="1" applyBorder="1" applyFont="1" applyNumberFormat="1">
      <alignment horizontal="center" readingOrder="0"/>
    </xf>
    <xf borderId="13" fillId="2" fontId="16" numFmtId="10" xfId="0" applyAlignment="1" applyBorder="1" applyFont="1" applyNumberFormat="1">
      <alignment horizontal="center" readingOrder="0"/>
    </xf>
    <xf borderId="13" fillId="2" fontId="2" numFmtId="1" xfId="0" applyAlignment="1" applyBorder="1" applyFont="1" applyNumberFormat="1">
      <alignment horizontal="center"/>
    </xf>
    <xf borderId="13" fillId="2" fontId="16" numFmtId="10" xfId="0" applyAlignment="1" applyBorder="1" applyFont="1" applyNumberFormat="1">
      <alignment horizontal="center"/>
    </xf>
    <xf borderId="13" fillId="2" fontId="16" numFmtId="4" xfId="0" applyAlignment="1" applyBorder="1" applyFont="1" applyNumberFormat="1">
      <alignment horizontal="center"/>
    </xf>
    <xf borderId="12" fillId="2" fontId="16" numFmtId="4" xfId="0" applyBorder="1" applyFont="1" applyNumberFormat="1"/>
    <xf borderId="14" fillId="2" fontId="1" numFmtId="0" xfId="0" applyBorder="1" applyFont="1"/>
    <xf borderId="14" fillId="2" fontId="1" numFmtId="3" xfId="0" applyAlignment="1" applyBorder="1" applyFont="1" applyNumberFormat="1">
      <alignment horizontal="center"/>
    </xf>
    <xf borderId="14" fillId="2" fontId="16" numFmtId="0" xfId="0" applyAlignment="1" applyBorder="1" applyFont="1">
      <alignment horizontal="center"/>
    </xf>
    <xf borderId="14" fillId="2" fontId="20" numFmtId="10" xfId="0" applyAlignment="1" applyBorder="1" applyFont="1" applyNumberFormat="1">
      <alignment horizontal="center"/>
    </xf>
    <xf borderId="14" fillId="2" fontId="20" numFmtId="3" xfId="0" applyAlignment="1" applyBorder="1" applyFont="1" applyNumberFormat="1">
      <alignment horizontal="center"/>
    </xf>
    <xf borderId="14" fillId="2" fontId="20" numFmtId="4" xfId="0" applyAlignment="1" applyBorder="1" applyFont="1" applyNumberFormat="1">
      <alignment horizontal="center"/>
    </xf>
    <xf borderId="15" fillId="2" fontId="16" numFmtId="0" xfId="0" applyBorder="1" applyFont="1"/>
    <xf borderId="15" fillId="2" fontId="20" numFmtId="0" xfId="0" applyAlignment="1" applyBorder="1" applyFont="1">
      <alignment readingOrder="0"/>
    </xf>
    <xf borderId="16" fillId="2" fontId="4" numFmtId="3" xfId="0" applyAlignment="1" applyBorder="1" applyFont="1" applyNumberFormat="1">
      <alignment horizontal="center"/>
    </xf>
    <xf borderId="15" fillId="2" fontId="16" numFmtId="3" xfId="0" applyAlignment="1" applyBorder="1" applyFont="1" applyNumberFormat="1">
      <alignment horizontal="center"/>
    </xf>
    <xf borderId="15" fillId="2" fontId="16" numFmtId="0" xfId="0" applyAlignment="1" applyBorder="1" applyFont="1">
      <alignment horizontal="center"/>
    </xf>
    <xf borderId="16" fillId="2" fontId="16" numFmtId="10" xfId="0" applyAlignment="1" applyBorder="1" applyFont="1" applyNumberFormat="1">
      <alignment horizontal="center"/>
    </xf>
    <xf borderId="15" fillId="2" fontId="23" numFmtId="10" xfId="0" applyAlignment="1" applyBorder="1" applyFont="1" applyNumberFormat="1">
      <alignment horizontal="center" readingOrder="0"/>
    </xf>
    <xf borderId="15" fillId="2" fontId="16" numFmtId="0" xfId="0" applyAlignment="1" applyBorder="1" applyFont="1">
      <alignment horizontal="center" readingOrder="0"/>
    </xf>
    <xf borderId="12" fillId="2" fontId="16" numFmtId="15" xfId="0" applyAlignment="1" applyBorder="1" applyFont="1" applyNumberFormat="1">
      <alignment horizontal="center"/>
    </xf>
    <xf borderId="12" fillId="2" fontId="23" numFmtId="10" xfId="0" applyAlignment="1" applyBorder="1" applyFont="1" applyNumberFormat="1">
      <alignment horizontal="center" readingOrder="0"/>
    </xf>
    <xf borderId="12" fillId="2" fontId="16" numFmtId="0" xfId="0" applyAlignment="1" applyBorder="1" applyFont="1">
      <alignment horizontal="center" readingOrder="0"/>
    </xf>
    <xf borderId="12" fillId="2" fontId="20" numFmtId="10" xfId="0" applyAlignment="1" applyBorder="1" applyFont="1" applyNumberFormat="1">
      <alignment horizontal="center"/>
    </xf>
    <xf borderId="12" fillId="2" fontId="16" numFmtId="3" xfId="0" applyAlignment="1" applyBorder="1" applyFont="1" applyNumberFormat="1">
      <alignment readingOrder="0"/>
    </xf>
    <xf borderId="12" fillId="2" fontId="16" numFmtId="10" xfId="0" applyBorder="1" applyFont="1" applyNumberFormat="1"/>
    <xf borderId="12" fillId="2" fontId="20" numFmtId="10" xfId="0" applyBorder="1" applyFont="1" applyNumberFormat="1"/>
    <xf borderId="12" fillId="2" fontId="16" numFmtId="4" xfId="0" applyAlignment="1" applyBorder="1" applyFont="1" applyNumberFormat="1">
      <alignment readingOrder="0"/>
    </xf>
    <xf borderId="12" fillId="2" fontId="16" numFmtId="10" xfId="0" applyAlignment="1" applyBorder="1" applyFont="1" applyNumberFormat="1">
      <alignment horizontal="right" readingOrder="0"/>
    </xf>
    <xf borderId="0" fillId="12" fontId="16" numFmtId="0" xfId="0" applyFill="1" applyFont="1"/>
    <xf borderId="0" fillId="12" fontId="20" numFmtId="0" xfId="0" applyAlignment="1" applyFont="1">
      <alignment readingOrder="0"/>
    </xf>
    <xf borderId="0" fillId="12" fontId="3" numFmtId="0" xfId="0" applyAlignment="1" applyFont="1">
      <alignment readingOrder="0"/>
    </xf>
    <xf borderId="0" fillId="12" fontId="16" numFmtId="4" xfId="0" applyAlignment="1" applyFont="1" applyNumberFormat="1">
      <alignment readingOrder="0"/>
    </xf>
    <xf borderId="0" fillId="12" fontId="16" numFmtId="0" xfId="0" applyAlignment="1" applyFont="1">
      <alignment readingOrder="0"/>
    </xf>
    <xf borderId="0" fillId="12" fontId="16" numFmtId="3" xfId="0" applyFont="1" applyNumberFormat="1"/>
    <xf borderId="0" fillId="12" fontId="16" numFmtId="169" xfId="0" applyFont="1" applyNumberFormat="1"/>
    <xf borderId="0" fillId="12" fontId="16" numFmtId="10" xfId="0" applyFont="1" applyNumberFormat="1"/>
    <xf borderId="0" fillId="12" fontId="16" numFmtId="10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13" fontId="20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0" fillId="13" fontId="2" numFmtId="0" xfId="0" applyFont="1"/>
    <xf borderId="0" fillId="13" fontId="16" numFmtId="3" xfId="0" applyAlignment="1" applyFont="1" applyNumberFormat="1">
      <alignment readingOrder="0"/>
    </xf>
    <xf borderId="0" fillId="13" fontId="16" numFmtId="10" xfId="0" applyFont="1" applyNumberFormat="1"/>
    <xf borderId="0" fillId="0" fontId="16" numFmtId="1" xfId="0" applyFont="1" applyNumberFormat="1"/>
    <xf borderId="0" fillId="13" fontId="16" numFmtId="1" xfId="0" applyFont="1" applyNumberFormat="1"/>
    <xf borderId="0" fillId="13" fontId="16" numFmtId="4" xfId="0" applyFont="1" applyNumberFormat="1"/>
    <xf borderId="0" fillId="13" fontId="2" numFmtId="0" xfId="0" applyAlignment="1" applyFont="1">
      <alignment readingOrder="0"/>
    </xf>
    <xf borderId="0" fillId="14" fontId="20" numFmtId="0" xfId="0" applyAlignment="1" applyFill="1" applyFont="1">
      <alignment readingOrder="0"/>
    </xf>
    <xf borderId="0" fillId="14" fontId="16" numFmtId="0" xfId="0" applyFont="1"/>
    <xf borderId="0" fillId="14" fontId="16" numFmtId="3" xfId="0" applyAlignment="1" applyFont="1" applyNumberFormat="1">
      <alignment readingOrder="0"/>
    </xf>
    <xf borderId="0" fillId="14" fontId="16" numFmtId="10" xfId="0" applyAlignment="1" applyFont="1" applyNumberFormat="1">
      <alignment readingOrder="0"/>
    </xf>
    <xf borderId="0" fillId="14" fontId="16" numFmtId="0" xfId="0" applyAlignment="1" applyFont="1">
      <alignment readingOrder="0"/>
    </xf>
    <xf borderId="0" fillId="14" fontId="16" numFmtId="4" xfId="0" applyFont="1" applyNumberFormat="1"/>
    <xf borderId="0" fillId="0" fontId="16" numFmtId="0" xfId="0" applyAlignment="1" applyFont="1">
      <alignment readingOrder="0"/>
    </xf>
    <xf borderId="12" fillId="8" fontId="24" numFmtId="0" xfId="0" applyAlignment="1" applyBorder="1" applyFont="1">
      <alignment readingOrder="0"/>
    </xf>
    <xf borderId="12" fillId="8" fontId="1" numFmtId="3" xfId="0" applyAlignment="1" applyBorder="1" applyFont="1" applyNumberFormat="1">
      <alignment readingOrder="0"/>
    </xf>
    <xf borderId="12" fillId="8" fontId="16" numFmtId="0" xfId="0" applyBorder="1" applyFont="1"/>
    <xf borderId="12" fillId="8" fontId="1" numFmtId="0" xfId="0" applyBorder="1" applyFont="1"/>
    <xf borderId="12" fillId="8" fontId="1" numFmtId="0" xfId="0" applyAlignment="1" applyBorder="1" applyFont="1">
      <alignment horizontal="center"/>
    </xf>
    <xf borderId="12" fillId="8" fontId="1" numFmtId="0" xfId="0" applyAlignment="1" applyBorder="1" applyFont="1">
      <alignment horizontal="center" readingOrder="0"/>
    </xf>
    <xf borderId="12" fillId="8" fontId="20" numFmtId="0" xfId="0" applyAlignment="1" applyBorder="1" applyFont="1">
      <alignment readingOrder="0"/>
    </xf>
    <xf borderId="12" fillId="2" fontId="20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right" readingOrder="0"/>
    </xf>
    <xf borderId="12" fillId="2" fontId="22" numFmtId="2" xfId="0" applyAlignment="1" applyBorder="1" applyFont="1" applyNumberFormat="1">
      <alignment horizontal="center" readingOrder="0"/>
    </xf>
    <xf borderId="12" fillId="2" fontId="3" numFmtId="2" xfId="0" applyAlignment="1" applyBorder="1" applyFont="1" applyNumberFormat="1">
      <alignment horizontal="center" readingOrder="0"/>
    </xf>
    <xf borderId="12" fillId="2" fontId="1" numFmtId="0" xfId="0" applyAlignment="1" applyBorder="1" applyFont="1">
      <alignment horizontal="right"/>
    </xf>
    <xf borderId="12" fillId="2" fontId="1" numFmtId="14" xfId="0" applyAlignment="1" applyBorder="1" applyFont="1" applyNumberFormat="1">
      <alignment horizontal="left"/>
    </xf>
    <xf borderId="17" fillId="2" fontId="2" numFmtId="0" xfId="0" applyBorder="1" applyFont="1"/>
    <xf borderId="18" fillId="2" fontId="2" numFmtId="0" xfId="0" applyBorder="1" applyFont="1"/>
    <xf borderId="19" fillId="2" fontId="25" numFmtId="0" xfId="0" applyBorder="1" applyFont="1"/>
    <xf borderId="19" fillId="2" fontId="2" numFmtId="0" xfId="0" applyBorder="1" applyFont="1"/>
    <xf borderId="19" fillId="2" fontId="2" numFmtId="9" xfId="0" applyBorder="1" applyFont="1" applyNumberFormat="1"/>
    <xf borderId="20" fillId="2" fontId="1" numFmtId="0" xfId="0" applyBorder="1" applyFont="1"/>
    <xf borderId="21" fillId="2" fontId="1" numFmtId="0" xfId="0" applyBorder="1" applyFont="1"/>
    <xf borderId="22" fillId="2" fontId="1" numFmtId="0" xfId="0" applyBorder="1" applyFont="1"/>
    <xf borderId="23" fillId="2" fontId="2" numFmtId="0" xfId="0" applyBorder="1" applyFont="1"/>
    <xf borderId="24" fillId="2" fontId="2" numFmtId="0" xfId="0" applyBorder="1" applyFont="1"/>
    <xf borderId="24" fillId="2" fontId="2" numFmtId="10" xfId="0" applyBorder="1" applyFont="1" applyNumberFormat="1"/>
    <xf borderId="24" fillId="2" fontId="2" numFmtId="2" xfId="0" applyBorder="1" applyFont="1" applyNumberFormat="1"/>
    <xf borderId="25" fillId="2" fontId="2" numFmtId="2" xfId="0" applyBorder="1" applyFont="1" applyNumberFormat="1"/>
    <xf borderId="26" fillId="2" fontId="2" numFmtId="0" xfId="0" applyBorder="1" applyFont="1"/>
    <xf borderId="27" fillId="2" fontId="2" numFmtId="0" xfId="0" applyBorder="1" applyFont="1"/>
    <xf borderId="27" fillId="2" fontId="2" numFmtId="10" xfId="0" applyBorder="1" applyFont="1" applyNumberFormat="1"/>
    <xf borderId="28" fillId="2" fontId="2" numFmtId="10" xfId="0" applyBorder="1" applyFont="1" applyNumberFormat="1"/>
    <xf borderId="20" fillId="2" fontId="1" numFmtId="10" xfId="0" applyBorder="1" applyFont="1" applyNumberFormat="1"/>
    <xf borderId="21" fillId="2" fontId="1" numFmtId="10" xfId="0" applyBorder="1" applyFont="1" applyNumberFormat="1"/>
    <xf borderId="22" fillId="2" fontId="1" numFmtId="10" xfId="0" applyBorder="1" applyFont="1" applyNumberFormat="1"/>
    <xf borderId="19" fillId="2" fontId="2" numFmtId="10" xfId="0" applyBorder="1" applyFont="1" applyNumberFormat="1"/>
    <xf borderId="29" fillId="2" fontId="2" numFmtId="0" xfId="0" applyBorder="1" applyFont="1"/>
    <xf borderId="14" fillId="2" fontId="2" numFmtId="0" xfId="0" applyBorder="1" applyFont="1"/>
    <xf borderId="14" fillId="2" fontId="2" numFmtId="10" xfId="0" applyBorder="1" applyFont="1" applyNumberFormat="1"/>
    <xf borderId="14" fillId="2" fontId="2" numFmtId="2" xfId="0" applyBorder="1" applyFont="1" applyNumberFormat="1"/>
    <xf borderId="30" fillId="2" fontId="2" numFmtId="2" xfId="0" applyBorder="1" applyFont="1" applyNumberFormat="1"/>
    <xf borderId="31" fillId="2" fontId="1" numFmtId="0" xfId="0" applyBorder="1" applyFont="1"/>
    <xf borderId="32" fillId="2" fontId="1" numFmtId="10" xfId="0" applyBorder="1" applyFont="1" applyNumberFormat="1"/>
    <xf borderId="33" fillId="2" fontId="2" numFmtId="0" xfId="0" applyBorder="1" applyFont="1"/>
    <xf borderId="34" fillId="2" fontId="5" numFmtId="0" xfId="0" applyBorder="1" applyFont="1"/>
    <xf borderId="34" fillId="2" fontId="5" numFmtId="10" xfId="0" applyBorder="1" applyFont="1" applyNumberFormat="1"/>
    <xf borderId="18" fillId="2" fontId="5" numFmtId="0" xfId="0" applyBorder="1" applyFont="1"/>
    <xf borderId="12" fillId="2" fontId="5" numFmtId="0" xfId="0" applyBorder="1" applyFont="1"/>
    <xf borderId="24" fillId="2" fontId="1" numFmtId="0" xfId="0" applyBorder="1" applyFont="1"/>
    <xf borderId="12" fillId="2" fontId="2" numFmtId="10" xfId="0" applyBorder="1" applyFont="1" applyNumberFormat="1"/>
    <xf borderId="12" fillId="5" fontId="2" numFmtId="0" xfId="0" applyBorder="1" applyFont="1"/>
    <xf borderId="12" fillId="2" fontId="1" numFmtId="171" xfId="0" applyAlignment="1" applyBorder="1" applyFont="1" applyNumberFormat="1">
      <alignment horizontal="left"/>
    </xf>
    <xf borderId="20" fillId="2" fontId="1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shrinkToFit="0" vertical="center" wrapText="1"/>
    </xf>
    <xf borderId="23" fillId="2" fontId="2" numFmtId="0" xfId="0" applyAlignment="1" applyBorder="1" applyFont="1">
      <alignment horizontal="left" shrinkToFit="0" vertical="center" wrapText="1"/>
    </xf>
    <xf borderId="24" fillId="2" fontId="2" numFmtId="3" xfId="0" applyAlignment="1" applyBorder="1" applyFont="1" applyNumberFormat="1">
      <alignment horizontal="center" vertical="center"/>
    </xf>
    <xf borderId="24" fillId="2" fontId="2" numFmtId="10" xfId="0" applyAlignment="1" applyBorder="1" applyFont="1" applyNumberFormat="1">
      <alignment horizontal="center" vertical="center"/>
    </xf>
    <xf borderId="24" fillId="2" fontId="2" numFmtId="0" xfId="0" applyAlignment="1" applyBorder="1" applyFont="1">
      <alignment horizontal="center" vertical="center"/>
    </xf>
    <xf borderId="24" fillId="2" fontId="2" numFmtId="2" xfId="0" applyAlignment="1" applyBorder="1" applyFont="1" applyNumberFormat="1">
      <alignment horizontal="center" vertical="center"/>
    </xf>
    <xf borderId="25" fillId="2" fontId="2" numFmtId="2" xfId="0" applyAlignment="1" applyBorder="1" applyFont="1" applyNumberFormat="1">
      <alignment horizontal="center" vertical="center"/>
    </xf>
    <xf borderId="27" fillId="2" fontId="2" numFmtId="0" xfId="0" applyAlignment="1" applyBorder="1" applyFont="1">
      <alignment horizontal="center"/>
    </xf>
    <xf borderId="27" fillId="2" fontId="2" numFmtId="10" xfId="0" applyAlignment="1" applyBorder="1" applyFont="1" applyNumberFormat="1">
      <alignment horizontal="center"/>
    </xf>
    <xf borderId="28" fillId="2" fontId="2" numFmtId="10" xfId="0" applyAlignment="1" applyBorder="1" applyFont="1" applyNumberFormat="1">
      <alignment horizontal="center"/>
    </xf>
    <xf borderId="21" fillId="2" fontId="1" numFmtId="0" xfId="0" applyAlignment="1" applyBorder="1" applyFont="1">
      <alignment horizontal="center"/>
    </xf>
    <xf borderId="35" fillId="2" fontId="1" numFmtId="0" xfId="0" applyAlignment="1" applyBorder="1" applyFont="1">
      <alignment horizontal="center"/>
    </xf>
    <xf borderId="5" fillId="2" fontId="1" numFmtId="10" xfId="0" applyAlignment="1" applyBorder="1" applyFont="1" applyNumberFormat="1">
      <alignment horizontal="center"/>
    </xf>
    <xf borderId="36" fillId="2" fontId="1" numFmtId="10" xfId="0" applyAlignment="1" applyBorder="1" applyFont="1" applyNumberFormat="1">
      <alignment horizontal="center"/>
    </xf>
    <xf borderId="34" fillId="2" fontId="1" numFmtId="10" xfId="0" applyAlignment="1" applyBorder="1" applyFont="1" applyNumberFormat="1">
      <alignment horizontal="center"/>
    </xf>
    <xf borderId="20" fillId="2" fontId="1" numFmtId="0" xfId="0" applyAlignment="1" applyBorder="1" applyFont="1">
      <alignment horizontal="left" shrinkToFit="0" vertical="center" wrapText="1"/>
    </xf>
    <xf borderId="14" fillId="2" fontId="2" numFmtId="10" xfId="0" applyAlignment="1" applyBorder="1" applyFont="1" applyNumberFormat="1">
      <alignment horizontal="center" vertical="center"/>
    </xf>
    <xf borderId="14" fillId="2" fontId="2" numFmtId="0" xfId="0" applyAlignment="1" applyBorder="1" applyFont="1">
      <alignment horizontal="center" vertical="center"/>
    </xf>
    <xf borderId="14" fillId="2" fontId="2" numFmtId="2" xfId="0" applyAlignment="1" applyBorder="1" applyFont="1" applyNumberFormat="1">
      <alignment horizontal="center" vertical="center"/>
    </xf>
    <xf borderId="30" fillId="2" fontId="2" numFmtId="2" xfId="0" applyAlignment="1" applyBorder="1" applyFont="1" applyNumberFormat="1">
      <alignment horizontal="center" vertical="center"/>
    </xf>
    <xf borderId="19" fillId="2" fontId="2" numFmtId="10" xfId="0" applyAlignment="1" applyBorder="1" applyFont="1" applyNumberFormat="1">
      <alignment horizontal="center"/>
    </xf>
    <xf borderId="37" fillId="2" fontId="2" numFmtId="10" xfId="0" applyAlignment="1" applyBorder="1" applyFont="1" applyNumberFormat="1">
      <alignment horizontal="center"/>
    </xf>
    <xf borderId="21" fillId="2" fontId="2" numFmtId="0" xfId="0" applyAlignment="1" applyBorder="1" applyFont="1">
      <alignment horizontal="center"/>
    </xf>
    <xf borderId="35" fillId="2" fontId="2" numFmtId="0" xfId="0" applyAlignment="1" applyBorder="1" applyFont="1">
      <alignment horizontal="center"/>
    </xf>
    <xf borderId="24" fillId="2" fontId="26" numFmtId="0" xfId="0" applyBorder="1" applyFont="1"/>
    <xf borderId="12" fillId="2" fontId="6" numFmtId="0" xfId="0" applyBorder="1" applyFont="1"/>
    <xf borderId="12" fillId="2" fontId="2" numFmtId="171" xfId="0" applyAlignment="1" applyBorder="1" applyFont="1" applyNumberFormat="1">
      <alignment horizontal="left"/>
    </xf>
    <xf borderId="12" fillId="2" fontId="2" numFmtId="0" xfId="0" applyAlignment="1" applyBorder="1" applyFont="1">
      <alignment horizontal="left"/>
    </xf>
    <xf borderId="1" fillId="5" fontId="3" numFmtId="0" xfId="0" applyBorder="1" applyFont="1"/>
    <xf borderId="23" fillId="2" fontId="2" numFmtId="0" xfId="0" applyAlignment="1" applyBorder="1" applyFont="1">
      <alignment shrinkToFit="0" wrapText="1"/>
    </xf>
    <xf borderId="38" fillId="2" fontId="2" numFmtId="0" xfId="0" applyBorder="1" applyFont="1"/>
    <xf borderId="19" fillId="2" fontId="2" numFmtId="0" xfId="0" applyAlignment="1" applyBorder="1" applyFont="1">
      <alignment horizontal="center"/>
    </xf>
    <xf borderId="24" fillId="2" fontId="2" numFmtId="3" xfId="0" applyAlignment="1" applyBorder="1" applyFont="1" applyNumberFormat="1">
      <alignment horizontal="center"/>
    </xf>
    <xf borderId="14" fillId="2" fontId="2" numFmtId="10" xfId="0" applyAlignment="1" applyBorder="1" applyFont="1" applyNumberFormat="1">
      <alignment horizontal="center"/>
    </xf>
    <xf borderId="14" fillId="2" fontId="2" numFmtId="0" xfId="0" applyAlignment="1" applyBorder="1" applyFont="1">
      <alignment horizontal="center"/>
    </xf>
    <xf borderId="14" fillId="2" fontId="2" numFmtId="2" xfId="0" applyAlignment="1" applyBorder="1" applyFont="1" applyNumberFormat="1">
      <alignment horizontal="center"/>
    </xf>
    <xf borderId="30" fillId="2" fontId="2" numFmtId="2" xfId="0" applyAlignment="1" applyBorder="1" applyFont="1" applyNumberFormat="1">
      <alignment horizontal="center"/>
    </xf>
    <xf borderId="24" fillId="2" fontId="2" numFmtId="10" xfId="0" applyAlignment="1" applyBorder="1" applyFont="1" applyNumberFormat="1">
      <alignment horizontal="center" readingOrder="0" vertical="center"/>
    </xf>
    <xf borderId="12" fillId="2" fontId="2" numFmtId="172" xfId="0" applyAlignment="1" applyBorder="1" applyFont="1" applyNumberFormat="1">
      <alignment readingOrder="0"/>
    </xf>
    <xf borderId="19" fillId="2" fontId="27" numFmtId="0" xfId="0" applyAlignment="1" applyBorder="1" applyFont="1">
      <alignment readingOrder="0"/>
    </xf>
    <xf borderId="12" fillId="2" fontId="2" numFmtId="10" xfId="0" applyAlignment="1" applyBorder="1" applyFont="1" applyNumberFormat="1">
      <alignment readingOrder="0"/>
    </xf>
    <xf borderId="23" fillId="2" fontId="2" numFmtId="0" xfId="0" applyAlignment="1" applyBorder="1" applyFont="1">
      <alignment horizontal="left" readingOrder="0" shrinkToFit="0" vertical="center" wrapText="1"/>
    </xf>
    <xf borderId="24" fillId="2" fontId="2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readingOrder="0"/>
    </xf>
    <xf borderId="12" fillId="2" fontId="2" numFmtId="3" xfId="0" applyBorder="1" applyFont="1" applyNumberFormat="1"/>
    <xf borderId="39" fillId="2" fontId="2" numFmtId="0" xfId="0" applyBorder="1" applyFont="1"/>
    <xf borderId="24" fillId="2" fontId="2" numFmtId="3" xfId="0" applyAlignment="1" applyBorder="1" applyFont="1" applyNumberFormat="1">
      <alignment horizontal="center" readingOrder="0" vertical="center"/>
    </xf>
    <xf borderId="40" fillId="2" fontId="2" numFmtId="10" xfId="0" applyAlignment="1" applyBorder="1" applyFont="1" applyNumberFormat="1">
      <alignment horizontal="center" vertical="center"/>
    </xf>
    <xf borderId="40" fillId="2" fontId="2" numFmtId="0" xfId="0" applyAlignment="1" applyBorder="1" applyFont="1">
      <alignment horizontal="center" readingOrder="0" vertical="center"/>
    </xf>
    <xf borderId="40" fillId="2" fontId="2" numFmtId="2" xfId="0" applyAlignment="1" applyBorder="1" applyFont="1" applyNumberFormat="1">
      <alignment horizontal="center" vertical="center"/>
    </xf>
    <xf borderId="41" fillId="2" fontId="2" numFmtId="2" xfId="0" applyAlignment="1" applyBorder="1" applyFont="1" applyNumberFormat="1">
      <alignment horizontal="center" vertical="center"/>
    </xf>
    <xf borderId="42" fillId="5" fontId="2" numFmtId="0" xfId="0" applyBorder="1" applyFont="1"/>
    <xf borderId="43" fillId="2" fontId="2" numFmtId="0" xfId="0" applyAlignment="1" applyBorder="1" applyFont="1">
      <alignment readingOrder="0"/>
    </xf>
    <xf borderId="44" fillId="2" fontId="2" numFmtId="1" xfId="0" applyAlignment="1" applyBorder="1" applyFont="1" applyNumberFormat="1">
      <alignment horizontal="center" readingOrder="0"/>
    </xf>
    <xf borderId="13" fillId="2" fontId="2" numFmtId="10" xfId="0" applyAlignment="1" applyBorder="1" applyFont="1" applyNumberFormat="1">
      <alignment horizontal="center" readingOrder="0"/>
    </xf>
    <xf borderId="13" fillId="2" fontId="2" numFmtId="0" xfId="0" applyAlignment="1" applyBorder="1" applyFont="1">
      <alignment horizontal="center" readingOrder="0" vertical="center"/>
    </xf>
    <xf borderId="13" fillId="2" fontId="2" numFmtId="2" xfId="0" applyAlignment="1" applyBorder="1" applyFont="1" applyNumberFormat="1">
      <alignment horizontal="center" vertical="center"/>
    </xf>
    <xf borderId="12" fillId="2" fontId="2" numFmtId="2" xfId="0" applyAlignment="1" applyBorder="1" applyFont="1" applyNumberFormat="1">
      <alignment horizontal="center" vertical="center"/>
    </xf>
    <xf borderId="45" fillId="2" fontId="2" numFmtId="2" xfId="0" applyAlignment="1" applyBorder="1" applyFont="1" applyNumberFormat="1">
      <alignment horizontal="center" vertical="center"/>
    </xf>
    <xf borderId="46" fillId="2" fontId="2" numFmtId="0" xfId="0" applyAlignment="1" applyBorder="1" applyFont="1">
      <alignment readingOrder="0"/>
    </xf>
    <xf borderId="12" fillId="2" fontId="2" numFmtId="1" xfId="0" applyAlignment="1" applyBorder="1" applyFont="1" applyNumberFormat="1">
      <alignment horizontal="center" readingOrder="0"/>
    </xf>
    <xf borderId="12" fillId="2" fontId="2" numFmtId="10" xfId="0" applyAlignment="1" applyBorder="1" applyFont="1" applyNumberFormat="1">
      <alignment horizontal="center" readingOrder="0"/>
    </xf>
    <xf borderId="12" fillId="2" fontId="2" numFmtId="0" xfId="0" applyAlignment="1" applyBorder="1" applyFont="1">
      <alignment horizontal="center" readingOrder="0"/>
    </xf>
    <xf borderId="42" fillId="2" fontId="2" numFmtId="2" xfId="0" applyAlignment="1" applyBorder="1" applyFont="1" applyNumberFormat="1">
      <alignment horizontal="center" vertical="center"/>
    </xf>
    <xf borderId="47" fillId="2" fontId="1" numFmtId="0" xfId="0" applyAlignment="1" applyBorder="1" applyFont="1">
      <alignment readingOrder="0"/>
    </xf>
    <xf borderId="44" fillId="2" fontId="2" numFmtId="3" xfId="0" applyAlignment="1" applyBorder="1" applyFont="1" applyNumberFormat="1">
      <alignment horizontal="center"/>
    </xf>
    <xf borderId="48" fillId="2" fontId="2" numFmtId="0" xfId="0" applyAlignment="1" applyBorder="1" applyFont="1">
      <alignment horizontal="center"/>
    </xf>
    <xf borderId="49" fillId="2" fontId="2" numFmtId="0" xfId="0" applyAlignment="1" applyBorder="1" applyFont="1">
      <alignment horizontal="center"/>
    </xf>
    <xf borderId="50" fillId="2" fontId="2" numFmtId="10" xfId="0" applyAlignment="1" applyBorder="1" applyFont="1" applyNumberFormat="1">
      <alignment horizontal="center"/>
    </xf>
    <xf borderId="34" fillId="2" fontId="5" numFmtId="0" xfId="0" applyAlignment="1" applyBorder="1" applyFont="1">
      <alignment readingOrder="0"/>
    </xf>
    <xf borderId="0" fillId="0" fontId="16" numFmtId="0" xfId="0" applyAlignment="1" applyFont="1">
      <alignment horizontal="center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6" xfId="0" applyFont="1" applyNumberFormat="1"/>
    <xf borderId="0" fillId="0" fontId="28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1" fillId="2" fontId="3" numFmtId="3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6" numFmtId="10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1" fillId="2" fontId="3" numFmtId="10" xfId="0" applyAlignment="1" applyBorder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/>
    </xf>
    <xf borderId="1" fillId="2" fontId="3" numFmtId="15" xfId="0" applyAlignment="1" applyBorder="1" applyFont="1" applyNumberFormat="1">
      <alignment horizontal="center" readingOrder="0"/>
    </xf>
    <xf borderId="1" fillId="2" fontId="9" numFmtId="10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1" fillId="5" fontId="2" numFmtId="3" xfId="0" applyAlignment="1" applyBorder="1" applyFont="1" applyNumberFormat="1">
      <alignment horizontal="center"/>
    </xf>
    <xf borderId="1" fillId="2" fontId="9" numFmtId="10" xfId="0" applyAlignment="1" applyBorder="1" applyFont="1" applyNumberFormat="1">
      <alignment horizontal="center" readingOrder="0"/>
    </xf>
    <xf borderId="0" fillId="0" fontId="16" numFmtId="9" xfId="0" applyAlignment="1" applyFont="1" applyNumberFormat="1">
      <alignment readingOrder="0"/>
    </xf>
    <xf borderId="1" fillId="2" fontId="3" numFmtId="0" xfId="0" applyAlignment="1" applyBorder="1" applyFont="1">
      <alignment readingOrder="0"/>
    </xf>
    <xf borderId="0" fillId="0" fontId="16" numFmtId="10" xfId="0" applyAlignment="1" applyFont="1" applyNumberFormat="1">
      <alignment readingOrder="0"/>
    </xf>
    <xf borderId="0" fillId="0" fontId="16" numFmtId="4" xfId="0" applyFont="1" applyNumberFormat="1"/>
    <xf borderId="0" fillId="0" fontId="2" numFmtId="2" xfId="0" applyAlignment="1" applyFont="1" applyNumberFormat="1">
      <alignment readingOrder="0"/>
    </xf>
    <xf borderId="0" fillId="0" fontId="2" numFmtId="10" xfId="0" applyAlignment="1" applyFont="1" applyNumberFormat="1">
      <alignment horizontal="center" readingOrder="0"/>
    </xf>
    <xf borderId="0" fillId="14" fontId="5" numFmtId="0" xfId="0" applyAlignment="1" applyFont="1">
      <alignment readingOrder="0"/>
    </xf>
    <xf borderId="0" fillId="14" fontId="2" numFmtId="3" xfId="0" applyAlignment="1" applyFont="1" applyNumberFormat="1">
      <alignment horizontal="center" readingOrder="0"/>
    </xf>
    <xf borderId="0" fillId="14" fontId="16" numFmtId="172" xfId="0" applyAlignment="1" applyFont="1" applyNumberFormat="1">
      <alignment horizontal="center" readingOrder="0"/>
    </xf>
    <xf borderId="0" fillId="14" fontId="16" numFmtId="0" xfId="0" applyAlignment="1" applyFont="1">
      <alignment horizontal="center"/>
    </xf>
    <xf borderId="0" fillId="14" fontId="3" numFmtId="10" xfId="0" applyAlignment="1" applyFont="1" applyNumberFormat="1">
      <alignment horizontal="center" readingOrder="0"/>
    </xf>
    <xf borderId="0" fillId="14" fontId="2" numFmtId="0" xfId="0" applyAlignment="1" applyFont="1">
      <alignment horizontal="center" readingOrder="0"/>
    </xf>
    <xf borderId="0" fillId="14" fontId="16" numFmtId="10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2" fontId="3" numFmtId="3" xfId="0" applyAlignment="1" applyBorder="1" applyFont="1" applyNumberFormat="1">
      <alignment horizontal="center" readingOrder="0"/>
    </xf>
    <xf borderId="2" fillId="0" fontId="1" numFmtId="0" xfId="0" applyBorder="1" applyFont="1"/>
    <xf borderId="2" fillId="0" fontId="1" numFmtId="3" xfId="0" applyAlignment="1" applyBorder="1" applyFont="1" applyNumberFormat="1">
      <alignment horizontal="center"/>
    </xf>
    <xf borderId="2" fillId="0" fontId="16" numFmtId="0" xfId="0" applyAlignment="1" applyBorder="1" applyFont="1">
      <alignment horizontal="center"/>
    </xf>
    <xf borderId="2" fillId="6" fontId="20" numFmtId="10" xfId="0" applyAlignment="1" applyBorder="1" applyFont="1" applyNumberFormat="1">
      <alignment horizontal="center"/>
    </xf>
    <xf borderId="2" fillId="0" fontId="20" numFmtId="3" xfId="0" applyAlignment="1" applyBorder="1" applyFont="1" applyNumberFormat="1">
      <alignment horizontal="center"/>
    </xf>
    <xf borderId="2" fillId="0" fontId="20" numFmtId="10" xfId="0" applyAlignment="1" applyBorder="1" applyFont="1" applyNumberFormat="1">
      <alignment horizontal="center"/>
    </xf>
    <xf borderId="0" fillId="0" fontId="29" numFmtId="0" xfId="0" applyAlignment="1" applyFont="1">
      <alignment readingOrder="0"/>
    </xf>
    <xf borderId="0" fillId="0" fontId="3" numFmtId="3" xfId="0" applyAlignment="1" applyFont="1" applyNumberFormat="1">
      <alignment horizontal="center"/>
    </xf>
    <xf borderId="0" fillId="0" fontId="3" numFmtId="173" xfId="0" applyAlignment="1" applyFont="1" applyNumberFormat="1">
      <alignment horizontal="center"/>
    </xf>
    <xf borderId="51" fillId="2" fontId="9" numFmtId="9" xfId="0" applyAlignment="1" applyBorder="1" applyFont="1" applyNumberFormat="1">
      <alignment horizontal="center" readingOrder="0"/>
    </xf>
    <xf borderId="0" fillId="15" fontId="30" numFmtId="0" xfId="0" applyAlignment="1" applyFill="1" applyFont="1">
      <alignment readingOrder="0"/>
    </xf>
    <xf borderId="0" fillId="15" fontId="30" numFmtId="172" xfId="0" applyAlignment="1" applyFont="1" applyNumberFormat="1">
      <alignment horizontal="center" readingOrder="0"/>
    </xf>
    <xf borderId="0" fillId="16" fontId="20" numFmtId="0" xfId="0" applyAlignment="1" applyFill="1" applyFont="1">
      <alignment readingOrder="0"/>
    </xf>
    <xf borderId="0" fillId="17" fontId="16" numFmtId="164" xfId="0" applyAlignment="1" applyFill="1" applyFont="1" applyNumberFormat="1">
      <alignment horizontal="right" readingOrder="0"/>
    </xf>
    <xf borderId="0" fillId="2" fontId="16" numFmtId="164" xfId="0" applyAlignment="1" applyFont="1" applyNumberFormat="1">
      <alignment horizontal="right" readingOrder="0"/>
    </xf>
    <xf borderId="0" fillId="0" fontId="16" numFmtId="174" xfId="0" applyAlignment="1" applyFont="1" applyNumberFormat="1">
      <alignment readingOrder="0"/>
    </xf>
    <xf borderId="0" fillId="0" fontId="16" numFmtId="172" xfId="0" applyAlignment="1" applyFont="1" applyNumberFormat="1">
      <alignment readingOrder="0"/>
    </xf>
    <xf borderId="0" fillId="0" fontId="16" numFmtId="175" xfId="0" applyAlignment="1" applyFont="1" applyNumberFormat="1">
      <alignment readingOrder="0"/>
    </xf>
    <xf borderId="0" fillId="0" fontId="16" numFmtId="170" xfId="0" applyAlignment="1" applyFont="1" applyNumberFormat="1">
      <alignment readingOrder="0"/>
    </xf>
    <xf borderId="0" fillId="0" fontId="16" numFmtId="4" xfId="0" applyAlignment="1" applyFont="1" applyNumberFormat="1">
      <alignment readingOrder="0"/>
    </xf>
    <xf borderId="0" fillId="0" fontId="16" numFmtId="176" xfId="0" applyAlignment="1" applyFont="1" applyNumberFormat="1">
      <alignment readingOrder="0"/>
    </xf>
    <xf borderId="0" fillId="0" fontId="16" numFmtId="3" xfId="0" applyAlignment="1" applyFont="1" applyNumberFormat="1">
      <alignment readingOrder="0"/>
    </xf>
    <xf borderId="0" fillId="18" fontId="20" numFmtId="0" xfId="0" applyAlignment="1" applyFill="1" applyFont="1">
      <alignment readingOrder="0"/>
    </xf>
    <xf borderId="0" fillId="18" fontId="20" numFmtId="0" xfId="0" applyFont="1"/>
    <xf borderId="0" fillId="0" fontId="31" numFmtId="0" xfId="0" applyAlignment="1" applyFont="1">
      <alignment readingOrder="0"/>
    </xf>
    <xf borderId="0" fillId="0" fontId="16" numFmtId="3" xfId="0" applyFont="1" applyNumberFormat="1"/>
    <xf borderId="0" fillId="0" fontId="31" numFmtId="0" xfId="0" applyFont="1"/>
    <xf borderId="0" fillId="0" fontId="31" numFmtId="3" xfId="0" applyFont="1" applyNumberFormat="1"/>
    <xf borderId="0" fillId="0" fontId="16" numFmtId="14" xfId="0" applyFont="1" applyNumberFormat="1"/>
    <xf borderId="0" fillId="0" fontId="20" numFmtId="0" xfId="0" applyFont="1"/>
    <xf borderId="0" fillId="0" fontId="20" numFmtId="3" xfId="0" applyFont="1" applyNumberFormat="1"/>
    <xf borderId="0" fillId="0" fontId="32" numFmtId="0" xfId="0" applyAlignment="1" applyFont="1">
      <alignment readingOrder="0" vertical="bottom"/>
    </xf>
    <xf borderId="0" fillId="0" fontId="33" numFmtId="0" xfId="0" applyAlignment="1" applyFont="1">
      <alignment readingOrder="0"/>
    </xf>
    <xf borderId="0" fillId="19" fontId="31" numFmtId="3" xfId="0" applyAlignment="1" applyFill="1" applyFont="1" applyNumberFormat="1">
      <alignment horizontal="left" readingOrder="0"/>
    </xf>
    <xf borderId="0" fillId="18" fontId="31" numFmtId="0" xfId="0" applyAlignment="1" applyFont="1">
      <alignment horizontal="center" readingOrder="0"/>
    </xf>
    <xf borderId="0" fillId="0" fontId="34" numFmtId="0" xfId="0" applyAlignment="1" applyFont="1">
      <alignment readingOrder="0" shrinkToFit="0" vertical="bottom" wrapText="0"/>
    </xf>
    <xf borderId="0" fillId="0" fontId="16" numFmtId="177" xfId="0" applyAlignment="1" applyFont="1" applyNumberFormat="1">
      <alignment readingOrder="0"/>
    </xf>
    <xf borderId="0" fillId="0" fontId="16" numFmtId="177" xfId="0" applyFont="1" applyNumberFormat="1"/>
    <xf borderId="0" fillId="0" fontId="20" numFmtId="9" xfId="0" applyAlignment="1" applyFont="1" applyNumberFormat="1">
      <alignment readingOrder="0"/>
    </xf>
    <xf borderId="1" fillId="9" fontId="1" numFmtId="0" xfId="0" applyBorder="1" applyFont="1"/>
    <xf borderId="0" fillId="0" fontId="2" numFmtId="3" xfId="0" applyAlignment="1" applyFont="1" applyNumberFormat="1">
      <alignment horizontal="right"/>
    </xf>
    <xf borderId="2" fillId="0" fontId="2" numFmtId="3" xfId="0" applyAlignment="1" applyBorder="1" applyFont="1" applyNumberFormat="1">
      <alignment horizontal="right"/>
    </xf>
    <xf borderId="1" fillId="18" fontId="1" numFmtId="0" xfId="0" applyBorder="1" applyFont="1"/>
    <xf borderId="0" fillId="0" fontId="2" numFmtId="9" xfId="0" applyAlignment="1" applyFont="1" applyNumberFormat="1">
      <alignment horizontal="right"/>
    </xf>
    <xf borderId="0" fillId="0" fontId="1" numFmtId="10" xfId="0" applyAlignment="1" applyFont="1" applyNumberFormat="1">
      <alignment horizontal="right"/>
    </xf>
    <xf borderId="0" fillId="0" fontId="35" numFmtId="0" xfId="0" applyFont="1"/>
    <xf borderId="10" fillId="20" fontId="1" numFmtId="0" xfId="0" applyAlignment="1" applyBorder="1" applyFill="1" applyFont="1">
      <alignment horizontal="center"/>
    </xf>
    <xf borderId="52" fillId="0" fontId="15" numFmtId="0" xfId="0" applyBorder="1" applyFont="1"/>
    <xf borderId="0" fillId="0" fontId="2" numFmtId="14" xfId="0" applyAlignment="1" applyFont="1" applyNumberFormat="1">
      <alignment horizontal="right"/>
    </xf>
    <xf borderId="0" fillId="0" fontId="9" numFmtId="0" xfId="0" applyFont="1"/>
    <xf borderId="0" fillId="0" fontId="3" numFmtId="3" xfId="0" applyFont="1" applyNumberFormat="1"/>
    <xf borderId="0" fillId="0" fontId="3" numFmtId="10" xfId="0" applyAlignment="1" applyFont="1" applyNumberFormat="1">
      <alignment horizontal="right"/>
    </xf>
    <xf borderId="0" fillId="0" fontId="3" numFmtId="10" xfId="0" applyFont="1" applyNumberFormat="1"/>
    <xf borderId="53" fillId="0" fontId="9" numFmtId="0" xfId="0" applyBorder="1" applyFont="1"/>
    <xf borderId="2" fillId="0" fontId="9" numFmtId="0" xfId="0" applyBorder="1" applyFont="1"/>
    <xf borderId="54" fillId="0" fontId="3" numFmtId="10" xfId="0" applyAlignment="1" applyBorder="1" applyFont="1" applyNumberFormat="1">
      <alignment horizontal="right"/>
    </xf>
    <xf borderId="2" fillId="0" fontId="3" numFmtId="0" xfId="0" applyAlignment="1" applyBorder="1" applyFont="1">
      <alignment horizontal="right"/>
    </xf>
    <xf borderId="2" fillId="0" fontId="3" numFmtId="10" xfId="0" applyAlignment="1" applyBorder="1" applyFont="1" applyNumberFormat="1">
      <alignment horizontal="right"/>
    </xf>
    <xf borderId="2" fillId="0" fontId="3" numFmtId="3" xfId="0" applyBorder="1" applyFont="1" applyNumberFormat="1"/>
    <xf borderId="53" fillId="0" fontId="3" numFmtId="10" xfId="0" applyAlignment="1" applyBorder="1" applyFont="1" applyNumberFormat="1">
      <alignment horizontal="right"/>
    </xf>
    <xf borderId="53" fillId="0" fontId="1" numFmtId="0" xfId="0" applyBorder="1" applyFont="1"/>
    <xf borderId="54" fillId="0" fontId="2" numFmtId="9" xfId="0" applyBorder="1" applyFont="1" applyNumberFormat="1"/>
    <xf borderId="53" fillId="0" fontId="2" numFmtId="10" xfId="0" applyBorder="1" applyFont="1" applyNumberFormat="1"/>
    <xf borderId="53" fillId="0" fontId="2" numFmtId="9" xfId="0" applyBorder="1" applyFont="1" applyNumberFormat="1"/>
    <xf borderId="0" fillId="0" fontId="2" numFmtId="14" xfId="0" applyFont="1" applyNumberFormat="1"/>
    <xf borderId="0" fillId="0" fontId="2" numFmtId="168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'WoW Positions'!$U$6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'WoW Positions'!$B$7:$B$20</c:f>
            </c:strRef>
          </c:cat>
          <c:val>
            <c:numRef>
              <c:f>'WoW Positions'!$U$7:$U$20</c:f>
              <c:numCache/>
            </c:numRef>
          </c:val>
        </c:ser>
        <c:ser>
          <c:idx val="1"/>
          <c:order val="1"/>
          <c:tx>
            <c:strRef>
              <c:f>'WoW Positions'!$V$6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'WoW Positions'!$B$7:$B$20</c:f>
            </c:strRef>
          </c:cat>
          <c:val>
            <c:numRef>
              <c:f>'WoW Positions'!$V$7:$V$20</c:f>
              <c:numCache/>
            </c:numRef>
          </c:val>
        </c:ser>
        <c:axId val="1534028516"/>
        <c:axId val="1758524061"/>
      </c:barChart>
      <c:catAx>
        <c:axId val="1534028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Instrument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524061"/>
      </c:catAx>
      <c:valAx>
        <c:axId val="1758524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028516"/>
      </c:valAx>
      <c:lineChart>
        <c:varyColors val="0"/>
        <c:ser>
          <c:idx val="2"/>
          <c:order val="2"/>
          <c:tx>
            <c:strRef>
              <c:f>'WoW Positions'!$P$6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'WoW Positions'!$B$7:$B$20</c:f>
            </c:strRef>
          </c:cat>
          <c:val>
            <c:numRef>
              <c:f>'WoW Positions'!$P$7:$P$20</c:f>
              <c:numCache/>
            </c:numRef>
          </c:val>
          <c:smooth val="1"/>
        </c:ser>
        <c:axId val="892300174"/>
        <c:axId val="2098595933"/>
      </c:lineChart>
      <c:catAx>
        <c:axId val="892300174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595933"/>
      </c:catAx>
      <c:valAx>
        <c:axId val="209859593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3001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1" Type="http://schemas.openxmlformats.org/officeDocument/2006/relationships/image" Target="../media/image1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chart" Target="../charts/chart1.xml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</xdr:row>
      <xdr:rowOff>66675</xdr:rowOff>
    </xdr:from>
    <xdr:ext cx="1876425" cy="1276350"/>
    <xdr:pic>
      <xdr:nvPicPr>
        <xdr:cNvPr id="117050944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2238375</xdr:colOff>
      <xdr:row>2</xdr:row>
      <xdr:rowOff>66675</xdr:rowOff>
    </xdr:from>
    <xdr:ext cx="2524125" cy="1276350"/>
    <xdr:pic>
      <xdr:nvPicPr>
        <xdr:cNvPr id="99443110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847725</xdr:colOff>
      <xdr:row>11</xdr:row>
      <xdr:rowOff>19050</xdr:rowOff>
    </xdr:from>
    <xdr:ext cx="2933700" cy="695325"/>
    <xdr:pic>
      <xdr:nvPicPr>
        <xdr:cNvPr id="124798869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847725</xdr:colOff>
      <xdr:row>15</xdr:row>
      <xdr:rowOff>19050</xdr:rowOff>
    </xdr:from>
    <xdr:ext cx="2895600" cy="695325"/>
    <xdr:pic>
      <xdr:nvPicPr>
        <xdr:cNvPr id="586456447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819150</xdr:colOff>
      <xdr:row>2</xdr:row>
      <xdr:rowOff>66675</xdr:rowOff>
    </xdr:from>
    <xdr:ext cx="3600450" cy="1276350"/>
    <xdr:pic>
      <xdr:nvPicPr>
        <xdr:cNvPr id="108683919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11</xdr:row>
      <xdr:rowOff>95250</xdr:rowOff>
    </xdr:from>
    <xdr:ext cx="10163175" cy="7639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628650</xdr:colOff>
      <xdr:row>2</xdr:row>
      <xdr:rowOff>66675</xdr:rowOff>
    </xdr:from>
    <xdr:ext cx="3600450" cy="1276350"/>
    <xdr:pic>
      <xdr:nvPicPr>
        <xdr:cNvPr id="41644059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2</xdr:row>
      <xdr:rowOff>66675</xdr:rowOff>
    </xdr:from>
    <xdr:ext cx="3600450" cy="1276350"/>
    <xdr:pic>
      <xdr:nvPicPr>
        <xdr:cNvPr id="6796977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695325</xdr:colOff>
      <xdr:row>5</xdr:row>
      <xdr:rowOff>180975</xdr:rowOff>
    </xdr:from>
    <xdr:ext cx="2057400" cy="600075"/>
    <xdr:pic>
      <xdr:nvPicPr>
        <xdr:cNvPr id="573226832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685800</xdr:colOff>
      <xdr:row>2</xdr:row>
      <xdr:rowOff>66675</xdr:rowOff>
    </xdr:from>
    <xdr:ext cx="2057400" cy="695325"/>
    <xdr:pic>
      <xdr:nvPicPr>
        <xdr:cNvPr id="1737401355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47625</xdr:rowOff>
    </xdr:from>
    <xdr:ext cx="1638300" cy="419100"/>
    <xdr:pic>
      <xdr:nvPicPr>
        <xdr:cNvPr id="0" name="image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857375" cy="46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0</xdr:rowOff>
    </xdr:from>
    <xdr:ext cx="1857375" cy="46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857375" cy="46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48</xdr:row>
      <xdr:rowOff>0</xdr:rowOff>
    </xdr:from>
    <xdr:ext cx="1857375" cy="46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857375" cy="46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857375" cy="46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a5b18ffb-9840-482f-9770-368bd63e43c7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Z20" sheet="WoW Positions"/>
  </cacheSource>
  <cacheFields>
    <cacheField name="Instrument " numFmtId="0">
      <sharedItems>
        <s v="MTBs (1Y)"/>
        <s v="MTBs (6M)"/>
        <s v="Faysal Bank"/>
        <s v="Samba Bank"/>
        <s v="COI"/>
        <s v="Alfalah Government Securities Fund Plan II"/>
        <s v="Alfalah MTS Fund"/>
        <s v="Alfalah GHP Income Multiplier Fund"/>
        <s v="MCB Investment Savings Plan I"/>
        <s v="Daewoo Short Term SUKUK"/>
      </sharedItems>
    </cacheField>
    <cacheField name="Cost of Placement" numFmtId="3">
      <sharedItems containsSemiMixedTypes="0" containsString="0" containsNumber="1">
        <n v="1.999988012E9"/>
        <n v="4.741825E8"/>
        <n v="1.312778062E9"/>
        <n v="3.8402235E8"/>
        <n v="4.515875E8"/>
        <n v="4.517095E8"/>
        <n v="2.2989492E8"/>
        <n v="0.0"/>
        <n v="1.3E9"/>
        <n v="8.2760844E8"/>
        <n v="3.1337317725E8"/>
        <n v="5.029355008E8"/>
        <n v="8.2014782877E8"/>
        <n v="2.75E8"/>
      </sharedItems>
    </cacheField>
    <cacheField name="Past Week" numFmtId="3">
      <sharedItems containsSemiMixedTypes="0" containsString="0" containsNumber="1">
        <n v="2.1233932997015321E9"/>
        <n v="4.883690010958904E8"/>
        <n v="1.3241614662910411E9"/>
        <n v="3.858235726389041E8"/>
        <n v="4.5370959008219177E8"/>
        <n v="4.538381036712329E8"/>
        <n v="2.2989492E8"/>
        <n v="0.0"/>
        <n v="1.3057271232876713E9"/>
        <n v="8.34797212700301E8"/>
        <n v="3.1337317725E8"/>
        <n v="5.029355008E8"/>
        <n v="8.2014782877E8"/>
        <n v="2.7677521917808217E8"/>
      </sharedItems>
    </cacheField>
    <cacheField name="Current Week" numFmtId="3">
      <sharedItems containsSemiMixedTypes="0" containsString="0" containsNumber="1">
        <n v="2.1275664253725984E9"/>
        <n v="4.893620561726027E8"/>
        <n v="1.3268175939589508E9"/>
        <n v="3.8661160754342467E8"/>
        <n v="4.546380044931507E8"/>
        <n v="4.547693677773973E8"/>
        <n v="2.2989492E8"/>
        <n v="0.0"/>
        <n v="1.3077316164383562E9"/>
        <n v="8.354237643468499E8"/>
        <n v="3.14074287135E8"/>
        <n v="5.03591152128E8"/>
        <n v="8.221392612792E8"/>
        <n v="2.7744585753424656E8"/>
      </sharedItems>
    </cacheField>
    <cacheField name="Gain/Loss" numFmtId="3">
      <sharedItems containsSemiMixedTypes="0" containsString="0" containsNumber="1">
        <n v="4173125.671066284"/>
        <n v="993055.0767123103"/>
        <n v="2656127.667909622"/>
        <n v="788034.9045205712"/>
        <n v="928414.4109589458"/>
        <n v="931264.1061643958"/>
        <n v="361533.3810410958"/>
        <n v="0.0"/>
        <n v="2004493.1506848335"/>
        <n v="626551.6465488672"/>
        <n v="701109.8849999905"/>
        <n v="655651.3280000091"/>
        <n v="1991432.509199977"/>
        <n v="670638.3561643958"/>
      </sharedItems>
    </cacheField>
    <cacheField name="1 Day Returns" numFmtId="0">
      <sharedItems containsString="0" containsBlank="1" containsNumber="1">
        <m/>
        <n v="0.0781"/>
        <n v="0.1124"/>
        <n v="0.1912"/>
        <n v="0.1201"/>
      </sharedItems>
    </cacheField>
    <cacheField name="15 Day Returns" numFmtId="0">
      <sharedItems containsString="0" containsBlank="1" containsNumber="1">
        <m/>
        <n v="-0.019299999999999998"/>
        <n v="0.0949"/>
        <n v="0.056100000000000004"/>
        <n v="0.0999"/>
      </sharedItems>
    </cacheField>
    <cacheField name="30 Day Returns" numFmtId="0">
      <sharedItems containsString="0" containsBlank="1" containsNumber="1">
        <m/>
        <n v="-0.2778"/>
        <n v="0.0876"/>
        <n v="0.08539999999999999"/>
        <n v="0.0931"/>
      </sharedItems>
    </cacheField>
    <cacheField name="90 Day Returns" numFmtId="0">
      <sharedItems containsString="0" containsBlank="1" containsNumber="1">
        <m/>
        <n v="0.023"/>
        <n v="0.09449999999999999"/>
        <n v="0.0626"/>
        <n v="0.0992"/>
      </sharedItems>
    </cacheField>
    <cacheField name="7 Day NAV" numFmtId="0">
      <sharedItems containsString="0" containsBlank="1" containsNumber="1">
        <m/>
        <n v="105.79"/>
        <n v="112.01"/>
        <n v="62.21"/>
        <n v="108.89"/>
      </sharedItems>
    </cacheField>
    <cacheField name="NAVs" numFmtId="0">
      <sharedItems containsString="0" containsBlank="1" containsNumber="1">
        <m/>
        <n v="105.8694"/>
        <n v="112.2606"/>
        <n v="62.2911"/>
        <n v="109.1544"/>
      </sharedItems>
    </cacheField>
    <cacheField name="Number of Units" numFmtId="0">
      <sharedItems containsString="0" containsBlank="1" containsNumber="1">
        <m/>
        <n v="7891078.6719"/>
        <n v="2797725.0"/>
        <n v="8084480.0"/>
        <n v="7531893.0"/>
      </sharedItems>
    </cacheField>
    <cacheField name="Date of Placement" numFmtId="15">
      <sharedItems containsDate="1" containsString="0" containsBlank="1">
        <d v="2025-08-26T00:00:00Z"/>
        <d v="2025-12-11T00:00:00Z"/>
        <d v="2026-02-19T00:00:00Z"/>
        <d v="2026-03-05T00:00:00Z"/>
        <m/>
        <d v="2026-03-01T00:00:00Z"/>
        <d v="2026-02-25T00:00:00Z"/>
      </sharedItems>
    </cacheField>
    <cacheField name="Date of Maturity" numFmtId="15">
      <sharedItems containsDate="1" containsString="0" containsBlank="1">
        <d v="2026-08-06T00:00:00Z"/>
        <d v="2026-06-11T00:00:00Z"/>
        <d v="2027-02-18T00:00:00Z"/>
        <d v="2027-03-04T00:00:00Z"/>
        <m/>
        <d v="2026-04-06T00:00:00Z"/>
        <d v="2026-03-31T00:00:00Z"/>
        <d v="2026-08-24T00:00:00Z"/>
      </sharedItems>
    </cacheField>
    <cacheField name="Weekly Yield" numFmtId="10">
      <sharedItems containsSemiMixedTypes="0" containsString="0" containsNumber="1">
        <n v="0.10879999999999955"/>
        <n v="0.10919999999999798"/>
        <n v="0.10550000000000133"/>
        <n v="0.10700000000000318"/>
        <n v="0.10720000000000482"/>
        <n v="0.10750000000000141"/>
        <n v="0.08199999999999999"/>
        <n v="0.082"/>
        <n v="0.08039999999999606"/>
        <n v="0.03913548404521278"/>
        <n v="0.11665922685474188"/>
        <n v="0.06797597997566074"/>
        <n v="0.12661007832280888"/>
        <n v="0.12716000000000233"/>
      </sharedItems>
    </cacheField>
    <cacheField name="Rate " numFmtId="10">
      <sharedItems containsSemiMixedTypes="0" containsString="0" containsNumber="1">
        <n v="0.1088"/>
        <n v="0.1092"/>
        <n v="0.1055"/>
        <n v="0.107"/>
        <n v="0.1072"/>
        <n v="0.1075"/>
        <n v="0.1025"/>
        <n v="0.1005"/>
        <n v="0.07"/>
        <n v="0.1309"/>
      </sharedItems>
    </cacheField>
    <cacheField name="Tax Adjusted Rate - 1 Day" numFmtId="10">
      <sharedItems containsSemiMixedTypes="0" containsString="0" containsNumber="1">
        <n v="0.10879999999999955"/>
        <n v="0.10919999999999798"/>
        <n v="0.10550000000000133"/>
        <n v="0.10700000000000318"/>
        <n v="0.10720000000000482"/>
        <n v="0.10750000000000141"/>
        <n v="0.082"/>
        <n v="0.08040000000000001"/>
        <n v="0.0781"/>
        <n v="0.1124"/>
        <n v="0.1912"/>
        <n v="0.1201"/>
        <n v="0.12716000000000233"/>
      </sharedItems>
    </cacheField>
    <cacheField name="Gross Expectation" numFmtId="10">
      <sharedItems containsSemiMixedTypes="0" containsString="0" containsNumber="1">
        <n v="0.10879999999999955"/>
        <n v="0.10919999999999798"/>
        <n v="0.10550000000000133"/>
        <n v="0.10700000000000318"/>
        <n v="0.10720000000000482"/>
        <n v="0.10750000000000141"/>
        <n v="0.082"/>
        <n v="0.08040000000000001"/>
        <n v="0.07"/>
        <n v="0.12716000000000233"/>
      </sharedItems>
    </cacheField>
    <cacheField name="Tax Adjusted Rate - 30 Day" numFmtId="10">
      <sharedItems containsSemiMixedTypes="0" containsString="0" containsNumber="1">
        <n v="0.10879999999999955"/>
        <n v="0.10919999999999798"/>
        <n v="0.10550000000000133"/>
        <n v="0.10700000000000318"/>
        <n v="0.10720000000000482"/>
        <n v="0.10750000000000141"/>
        <n v="0.082"/>
        <n v="0.08040000000000001"/>
        <n v="-0.2778"/>
        <n v="0.0876"/>
        <n v="0.08539999999999999"/>
        <n v="0.0931"/>
        <n v="0.12716000000000233"/>
      </sharedItems>
    </cacheField>
    <cacheField name="Days to Maturity" numFmtId="1">
      <sharedItems containsSemiMixedTypes="0" containsString="0" containsNumber="1">
        <n v="345.0"/>
        <n v="182.0"/>
        <n v="364.0"/>
        <n v="1.0"/>
        <n v="9.0"/>
        <n v="30.0"/>
        <n v="284.7"/>
        <n v="80.3"/>
        <n v="180.0"/>
      </sharedItems>
    </cacheField>
    <cacheField name="Remaining Days" numFmtId="1">
      <sharedItems containsSemiMixedTypes="0" containsString="0" containsNumber="1">
        <n v="131.0"/>
        <n v="75.0"/>
        <n v="327.0"/>
        <n v="341.0"/>
        <n v="1.0"/>
        <n v="9.0"/>
        <n v="3.0"/>
        <n v="284.7"/>
        <n v="80.3"/>
        <n v="149.0"/>
      </sharedItems>
    </cacheField>
    <cacheField name="Concentration (%)" numFmtId="10">
      <sharedItems containsSemiMixedTypes="0" containsString="0" containsNumber="1">
        <n v="0.21405750312167793"/>
        <n v="0.050751465191279876"/>
        <n v="0.1405058392443181"/>
        <n v="0.041101679055423807"/>
        <n v="0.04833313605429787"/>
        <n v="0.04834619364025547"/>
        <n v="0.024605513763228445"/>
        <n v="0.0"/>
        <n v="0.13913821102352752"/>
        <n v="0.08857842905351725"/>
        <n v="0.033540140973326"/>
        <n v="0.053828881416564535"/>
        <n v="0.08777992436145245"/>
        <n v="0.02943308310113082"/>
      </sharedItems>
    </cacheField>
    <cacheField name="PVBP" numFmtId="4">
      <sharedItems containsSemiMixedTypes="0" containsString="0" containsNumber="1">
        <n v="68866.55244317204"/>
        <n v="9065.438799022177"/>
        <n v="107524.48299587418"/>
        <n v="32627.874465681114"/>
        <n v="38361.99410388897"/>
        <n v="38362.68392024305"/>
        <n v="57.12916969527537"/>
        <n v="0.0"/>
        <n v="976.6905078799969"/>
        <n v="60900.050111265686"/>
        <n v="80.41845785046729"/>
        <n v="10354.210604500935"/>
        <n v="210.50806843661505"/>
        <n v="10014.9190843522"/>
      </sharedItems>
    </cacheField>
    <cacheField name="Modified Duration" numFmtId="4">
      <sharedItems containsSemiMixedTypes="0" containsString="0" containsNumber="1">
        <n v="0.32368696752258397"/>
        <n v="0.18525013708510144"/>
        <n v="0.8103938588502073"/>
        <n v="0.8439445125044859"/>
        <n v="0.8437920658801172"/>
        <n v="0.8435634991805561"/>
        <n v="0.002485012269748082"/>
        <n v="0.022365110427732735"/>
        <n v="0.0074685852632365105"/>
        <n v="0.7289719626168223"/>
        <n v="0.0025604916143899628"/>
        <n v="0.205607476635514"/>
        <n v="0.36096841284126957"/>
      </sharedItems>
    </cacheField>
    <cacheField name="Convexity" numFmtId="168">
      <sharedItems containsSemiMixedTypes="0" containsString="0" containsNumber="1">
        <n v="0.10477325294396633"/>
        <n v="0.03431761329004888"/>
        <n v="0.6567382064621298"/>
        <n v="0.7122423401864343"/>
        <n v="0.7119850504422363"/>
        <n v="0.7115993771497441"/>
        <n v="6.1752859807985136E-6"/>
        <n v="5.001981644446796E-4"/>
        <n v="5.577976583423358E-5"/>
        <n v="0.5314001222814217"/>
        <n v="6.556117307361318E-6"/>
        <n v="0.042274434448423444"/>
        <n v="0.130298195069145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524" sheet="MUFAP Data"/>
  </cacheSource>
  <cacheFields>
    <cacheField name="Sector" numFmtId="0">
      <sharedItems>
        <s v="Open-End Funds"/>
        <s v="Dedicated Equity Funds"/>
        <s v="Voluntary Pension Scheme (VPS)"/>
        <s v="Exchange Traded Fund (ETF)"/>
        <s v="Employer Pension Funds"/>
        <s v="Sector &#10;                                    Category"/>
      </sharedItems>
    </cacheField>
    <cacheField name="Category" numFmtId="0">
      <sharedItems>
        <s v="Money Market (Annualized Return )"/>
        <s v="Income (Annualized Return )"/>
        <s v="Equity (Absolute Return )"/>
        <s v="Capital Protected (Absolute Return )"/>
        <s v="Capital Protected - Income (Annualized Return )"/>
        <s v="Fixed Rate / Return (Annualized Return )"/>
        <s v="Aggressive Fixed Income (Annualized Return )"/>
        <s v="Balanced (Absolute Return )"/>
        <s v="Asset Allocation (Absolute Return )"/>
        <s v="Fund of Funds (Absolute Return )"/>
        <s v="Index Tracker (Absolute Return )"/>
        <s v="Shariah Compliant Money Market (Annualized Return )"/>
        <s v="Shariah Compliant Income (Annualized Return )"/>
        <s v="Shariah Compliant Equity (Absolute Return )"/>
        <s v="Shariah Compliant Capital Protected (Absolute Return )"/>
        <s v="Shariah Compliant Fixed Rate / Return (Annualized Return )"/>
        <s v="Shariah Compliant Fund of Funds - CPPI (Absolute Return )"/>
        <s v="Shariah Compliant Aggressive Fixed Income (Annualized Return )"/>
        <s v="Shariah Compliant Balanced (Absolute Return )"/>
        <s v="Shariah Compliant Asset Allocation (Absolute Return )"/>
        <s v="Shariah Compliant Fund of Funds (Absolute Return )"/>
        <s v="Shariah Compliant Index Tracker (Absolute Return )"/>
        <s v="Shariah Compliant Commodities (Absolute Return )"/>
        <s v="Dedicated Equity (Absolute Return )"/>
        <s v="Shariah Compliant Dedicated Equity (Absolute Return )"/>
        <s v="VPS-Money Market (Annualized Return )"/>
        <s v="VPS-Debt (Annualized Return )"/>
        <s v="VPS-Commodities / Gold (Absolute Return )"/>
        <s v="VPS-Equity (Absolute Return )"/>
        <s v="VPS-Shariah Compliant Money Market (Annualized Return )"/>
        <s v="VPS-Shariah Compliant Debt (Annualized Return )"/>
        <s v="VPS-Shariah Compliant Commodities / Gold (Absolute Return )"/>
        <s v="VPS-Shariah Compliant Equity (Absolute Return )"/>
        <s v="Exchange Traded Fund (Absolute Return )"/>
        <s v="Exchange Traded Fund (Annualized Return )"/>
        <s v="Shariah Compliant Exchange Traded Fund (Absolute Return )"/>
        <s v="Fund Name"/>
      </sharedItems>
    </cacheField>
    <cacheField name="Fund Name" numFmtId="0">
      <sharedItems>
        <s v="ABL Cash Fund"/>
        <s v="ABL Money Market Plan I"/>
        <s v="AKD Cash Fund"/>
        <s v="AL Habib Cash Fund"/>
        <s v="AL Habib Money Market Fund"/>
        <s v="Alfalah Cash Fund - II"/>
        <s v="Alfalah GHP Cash Fund"/>
        <s v="Alfalah GHP Money Market Fund"/>
        <s v="Alfalah Money Market Fund - II"/>
        <s v="Askari Cash Fund"/>
        <s v="Atlas Liquid Fund"/>
        <s v="Atlas Money Market Fund"/>
        <s v="HBL Cash Fund"/>
        <s v="HBL Money Market Fund"/>
        <s v="JS Cash Fund"/>
        <s v="JS Money Market Fund"/>
        <s v="Lakson Money Market Fund"/>
        <s v="MCB Cash Management Optimizer"/>
        <s v="NBP Cash Plan I"/>
        <s v="NBP Cash Plan II"/>
        <s v="NBP Government Securities Liquid Fund"/>
        <s v="NBP Money Market Fund"/>
        <s v="NIT Money Market Fund"/>
        <s v="Pakistan Cash Management Fund"/>
        <s v="UBL Cash Fund"/>
        <s v="UBL Liquidity Fund"/>
        <s v="UBL Liquidity Plus Fund"/>
        <s v="UBL Money Market Fund"/>
        <s v="ABL Financial Sector Fund Plan I"/>
        <s v="ABL Government Securities Fund"/>
        <s v="ABL Income Fund"/>
        <s v="AL Habib Government Securities Fund"/>
        <s v="AL Habib Income Fund"/>
        <s v="AL Habib Sovereign Income Fund Plan 1"/>
        <s v="AL Habib Sovereign Income Fund Plan 2"/>
        <s v="AL Habib Sovereign Income Fund Plan 3"/>
        <s v="Alfalah Financial Sector Income Fund"/>
        <s v="Alfalah Financial Sector Opportunity Fund"/>
        <s v="Alfalah GHP Income Fund"/>
        <s v="Alfalah GHP Sovereign Fund"/>
        <s v="Alfalah Government Securities Fund - II"/>
        <s v="Alfalah Government Securities Fund Plan I"/>
        <s v="Alfalah Government Securities Fund Plan II"/>
        <s v="Alfalah MTS Fund"/>
        <s v="Alfalah Savings Growth Fund"/>
        <s v="Askari Sovereign Yield Enhancer"/>
        <s v="Atlas Income Fund"/>
        <s v="Atlas Sovereign Fund"/>
        <s v="AWT Financial Sector Income Fund"/>
        <s v="AWT Income Fund"/>
        <s v="HBL Financial Sector Income Fund Plan I"/>
        <s v="HBL Financial Sector Income Fund Plan II"/>
        <s v="HBL Government Securities Fund"/>
        <s v="HBL Income Fund"/>
        <s v="JS Government Securities Fund"/>
        <s v="JS Income Fund"/>
        <s v="JS Microfinance Sector Fund"/>
        <s v="Lakson Income Fund"/>
        <s v="MCB DCF Income Fund"/>
        <s v="MCB Government Securities Plan I"/>
        <s v="MCB Pakistan Sovereign Fund"/>
        <s v="NBP Financial Sector Income Fund"/>
        <s v="NBP Government Securities Plan IV"/>
        <s v="NBP Government Securities Plan VIII"/>
        <s v="NBP Government Securities Savings Fund"/>
        <s v="NBP Income Opportunity Fund"/>
        <s v="NBP Income Plan I"/>
        <s v="NBP Mahana Amdani Fund"/>
        <s v="NBP Savings Fund"/>
        <s v="NIT - Government Bond Fund"/>
        <s v="NIT - Income Fund"/>
        <s v="NIT Social Impact Fund"/>
        <s v="Pak Oman Income Fund"/>
        <s v="Pak Oman Micro Finance Fund"/>
        <s v="Pakistan Income Fund"/>
        <s v="UBL Government Securities Fund"/>
        <s v="UBL Income Opportunity Fund"/>
        <s v="ABL Stock Fund"/>
        <s v="AKD Opportunity Fund"/>
        <s v="AL Habib Stock Fund"/>
        <s v="Alfalah GHP Alpha Fund"/>
        <s v="Alfalah GHP Stock Fund"/>
        <s v="Alfalah Stock Fund - II"/>
        <s v="Atlas Dividend Yield Fund"/>
        <s v="Atlas Financial Sector Fund"/>
        <s v="Atlas Stock Market Fund"/>
        <s v="First Capital Mutual Fund"/>
        <s v="Golden Arrow Stock Fund"/>
        <s v="HBL Energy Fund"/>
        <s v="HBL Equity Fund"/>
        <s v="HBL Growth Fund-Class A"/>
        <s v="HBL Growth Fund-Class B"/>
        <s v="HBL Investment Fund-Class A"/>
        <s v="HBL Investment Fund-Class B"/>
        <s v="HBL Stock Fund"/>
        <s v="JS Growth Fund"/>
        <s v="JS Large Cap Fund"/>
        <s v="Lakson Equity Fund"/>
        <s v="MCB Pakistan Stock Market Fund"/>
        <s v="National Investment Unit Trust"/>
        <s v="NBP Financial Sector Fund"/>
        <s v="NBP Stock Fund"/>
        <s v="UBL Financial Sector Fund"/>
        <s v="UBL Stock Advantage Fund"/>
        <s v="ABL Special Saving Fund (ABL Special Saving Plan I)"/>
        <s v="ABL Special Saving Fund (ABL Special Saving Plan II)"/>
        <s v="ABL Special Saving Fund (ABL Special Saving Plan III)"/>
        <s v="ABL Special Saving Fund (ABL Special Saving Plan IV)"/>
        <s v="ABL Special Saving Fund (ABL Special Saving Plan V)"/>
        <s v="ABL Special Saving Fund (ABL Special Saving Plan VI)"/>
        <s v="Alfalah Special Savings Fund - I"/>
        <s v="Alfalah Special Savings Fund - II"/>
        <s v="UBL Special Savings Plan V"/>
        <s v="UBL Special Savings Plan X"/>
        <s v="ABL Fixed Rate Plan XIX"/>
        <s v="ABL Fixed Rate Plan XXII"/>
        <s v="ABL Fixed Rate Plan XXIII"/>
        <s v="ABL Fixed Rate Plan XXIV"/>
        <s v="AL Habib Fixed Return Fund Plan 19"/>
        <s v="AL Habib Fixed Return Fund Plan 22"/>
        <s v="AL Habib Fixed Return Fund Plan 23"/>
        <s v="AL Habib Fixed Return Fund Plan 24"/>
        <s v="AL Habib Fixed Return Fund Plan 28"/>
        <s v="AL Habib Fixed Return Fund Plan 29"/>
        <s v="Alfalah Stable Return Fund Plan XX"/>
        <s v="Alfalah Stable Return Fund Plan XXI"/>
        <s v="Alfalah Stable Return Fund Plan XXII"/>
        <s v="Alfalah Stable Return Fund Plan XXIII"/>
        <s v="Alfalah Stable Return Fund Plan XXIV"/>
        <s v="Alfalah Stable Return Fund Plan XXVI"/>
        <s v="Alfalah Stable Return Fund Plan XXVII"/>
        <s v="HBL Mehfooz Munafa Fund Plan IV"/>
        <s v="HBL Mehfooz Munafa Fund Plan X"/>
        <s v="HBL Mehfooz Munafa Fund Plan XI"/>
        <s v="JS Fixed Term Munafa Fund (JS Fixed Term Munafa Plan I)"/>
        <s v="JS Fixed Term Munafa Fund (JS Fixed Term Munafa Plan XIX)"/>
        <s v="JS Fixed Term Munafa Fund (JS Fixed Term Munafa Plan XV)"/>
        <s v="JS Fixed Term Munafa Fund (JS Fixed Term Munafa Plan XX)"/>
        <s v="JS Fixed Term Munafa Fund (JS Fixed Term Munafa Plan XXI)"/>
        <s v="JS Fixed Term Munafa Fund II (JS Fixed Term Munafa Plan I)"/>
        <s v="JS Fixed Term Munafa Fund II (JS Fixed Term Munafa Plan IV)"/>
        <s v="JS Fixed Term Munafa Fund II (JS Fixed Term Munafa Plan VI)"/>
        <s v="JS Fixed Term Munafa Fund II (JS Fixed Term Munafa Plan VII)"/>
        <s v="JS Fixed Term Munafa Fund II (JS Fixed Term Munafa Plan VIII)"/>
        <s v="Lakson Fixed Return Fund Plan I"/>
        <s v="MCB DCF Fixed Return III (Plan IV)"/>
        <s v="MCB Pakistan Fixed Return Plan 25"/>
        <s v="MCB Pakistan Fixed Return Plan 28"/>
        <s v="MCB Pakistan Fixed Return Plan 29"/>
        <s v="NBP Fixed Term Munafa Plan XIB (NBP Mustahkam Fund II)"/>
        <s v="NBP Fixed Term Munafa Plan XIIA (NBP Mustahkam Fund II)"/>
        <s v="NBP Fixed Term Munafa Plan XIII (NBP Mustahkam Fund II)"/>
        <s v="NBP Fixed Term Munafa Plan XIIIA (NBP Mustahkam Fund II)"/>
        <s v="NBP Fixed Term Munafa Plan XIX"/>
        <s v="NBP Fixed Term Munafa Plan XIXA (NBP Mustahkam Fund II)"/>
        <s v="NBP Fixed Term Munafa Plan XXA (NBP Mustahkam Fund II)"/>
        <s v="UBL Fixed Return Plan II (AB)"/>
        <s v="UBL Fixed Return Plan II (M)"/>
        <s v="UBL Fixed Return Plan III (X)"/>
        <s v="UBL Fixed Return Plan III (Y)"/>
        <s v="UBL Fixed Return Plan III (Z)"/>
        <s v="UBL Fixed Return Plan IV (G)"/>
        <s v="UBL Fixed Return Plan IV (O)"/>
        <s v="AKD Aggressive Income Fund"/>
        <s v="Alfalah GHP Income Multiplier Fund"/>
        <s v="Alfalah Income &amp;amp; Growth Fund"/>
        <s v="Askari High Yield Scheme"/>
        <s v="MCB Investment Savings Plan I"/>
        <s v="Pakistan Income Enhancement Fund"/>
        <s v="UBL Growth &amp;amp; Income Fund"/>
        <s v="HBL Multi Asset Fund"/>
        <s v="NBP Balanced Fund"/>
        <s v="Pakistan Capital Market Fund"/>
        <s v="Unit Trust of Pakistan"/>
        <s v="ABL Optimal Asset Allocation Fund"/>
        <s v="AL Habib Asset Allocation Fund"/>
        <s v="Alfalah Asset Allocation Fund"/>
        <s v="Alfalah Financial Value Fund (Alfalah Financial Value Plan I)"/>
        <s v="Alfalah Financial Value Fund - II"/>
        <s v="Alfalah GHP Value Fund"/>
        <s v="Allied Finergy Fund"/>
        <s v="Lakson Asset Allocation Developed Markets Fund"/>
        <s v="Lakson Tactical Fund"/>
        <s v="MCB Pakistan Asset Allocation Fund"/>
        <s v="MCB Pakistan Opportunity Fund (MCB Pakistan  Dividend Yield Plan)"/>
        <s v="NBP Sarmaya Izafa Fund"/>
        <s v="NIT Asset Allocation Fund"/>
        <s v="Pak Oman Advantage Asset Allocation Fund"/>
        <s v="UBL Asset Allocation Fund"/>
        <s v="ABL Financial Planning Fund (Conservative Plan)"/>
        <s v="ABL Financial Planning Fund (Strategic Allocation Plan)"/>
        <s v="Alfalah GHP Prosperity Planning Fund (Alfalah GHP Active Allocation Plan)"/>
        <s v="Alfalah GHP Prosperity Planning Fund (Alfalah GHP Conservative Allocation Plan)"/>
        <s v="Alfalah GHP Prosperity Planning Fund (Alfalah GHP Moderate Allocation Plan)"/>
        <s v="Alfalah GHP Prosperity Planning Fund (Capital Preservation Plan IV)"/>
        <s v="Alfalah Strategic Allocation Fund Plan - I"/>
        <s v="JS Fund of Funds"/>
        <s v="AKD Index Tracker Fund"/>
        <s v="ABL Islamic Cash Fund"/>
        <s v="ABL Islamic Money Market Plan I"/>
        <s v="AKD Islamic Cash Fund"/>
        <s v="Al Ameen Islamic Cash Fund"/>
        <s v="Al Ameen Islamic Cash Plan I"/>
        <s v="AL Habib Islamic Cash Fund"/>
        <s v="AL Habib Islamic Money Market Fund"/>
        <s v="Alfalah GOPB Islamic Pension Fund"/>
        <s v="Alfalah Islamic Money Market Fund"/>
        <s v="Alfalah Islamic Rozana Amdani Fund"/>
        <s v="Alhamra Cash Management Optimizer"/>
        <s v="Alhamra Islamic Money Market Fund"/>
        <s v="Atlas Islamic Cash Fund"/>
        <s v="Atlas Islamic Money Market Fund"/>
        <s v="AWT Islamic Money Market Fund"/>
        <s v="Faysal Halal Amdani Fund"/>
        <s v="Faysal Islamic Cash Fund"/>
        <s v="HBL Islamic Money Market Fund"/>
        <s v="HBL Islamic Savings Plan I"/>
        <s v="JS Islamic Money Market Fund"/>
        <s v="Lakson Islamic Money Market Fund"/>
        <s v="Lucky Islamic Cash Fund"/>
        <s v="Lucky Islamic Money Market Fund"/>
        <s v="Mahaana Islamic Cash Fund"/>
        <s v="Meezan Cash Fund"/>
        <s v="Meezan Islamic Asaan Cash Fund"/>
        <s v="Meezan Rozana Amdani Fund"/>
        <s v="NBP Islamic Daily Dividend Fund"/>
        <s v="NBP Islamic Money Market Fund"/>
        <s v="NIT Islamic Money Market Fund"/>
        <s v="Pak Oman Daily Dividend Fund"/>
        <s v="Pak Qatar Asan Munafa Plan"/>
        <s v="Pak Qatar Cash Plan"/>
        <s v="Pak Qatar Daily Dividend Plan"/>
        <s v="786 Islamic Money Market Fund"/>
        <s v="ABL Islamic Income Fund"/>
        <s v="ABL Islamic Sovereign Plan I"/>
        <s v="AKD Islamic Income Fund"/>
        <s v="Al Ameen Islamic Income Fund"/>
        <s v="Al Ameen Islamic Sovereign Fund"/>
        <s v="AL Habib Islamic Income Fund"/>
        <s v="AL Habib Islamic Savings Fund"/>
        <s v="Alfalah GHP Islamic Income Fund"/>
        <s v="Alfalah Islamic Sovereign Fund (Alfalah Islamic Sovereign Plan I)"/>
        <s v="Alfalah Islamic Sovereign Fund (Alfalah Islamic Sovereign Plan II)"/>
        <s v="Alfalah Islamic Sovereign Fund (Alfalah Islamic Sovereign Plan III)"/>
        <s v="Alhamra Daily Dividend Fund"/>
        <s v="Alhamra Government Securities Plan I"/>
        <s v="Alhamra Islamic Income Fund"/>
        <s v="Atlas Islamic Income Fund"/>
        <s v="AWT Islamic Income Fund"/>
        <s v="Faysal Halal Amdani Fund II"/>
        <s v="Faysal Halal Amdani Fund III"/>
        <s v="Faysal Islamic Savings Growth Fund"/>
        <s v="Faysal Islamic Sovereign Fund (Faysal Islamic Sovereign Plan I)"/>
        <s v="Faysal Islamic Sovereign Fund (Faysal Islamic Sovereign Plan II)"/>
        <s v="Faysal Islamic Special Income Plan I"/>
        <s v="HBL Islamic Income Fund"/>
        <s v="JS Islamic Income Fund"/>
        <s v="Lucky Islamic Income Fund"/>
        <s v="Meezan Daily Income Fund (MDIP I)"/>
        <s v="Meezan Daily Income Fund (Meezan Mahana Munafa Plan)"/>
        <s v="Meezan Daily Income Fund (Meezan Munafa Plan I)"/>
        <s v="Meezan Daily Income Fund (Meezan Sehl Account Plan) (MSHP)"/>
        <s v="Meezan Daily Income Fund (Meezan Super Saver Plan) (MSSP)"/>
        <s v="Meezan Islamic Income Fund"/>
        <s v="Meezan Sovereign Fund"/>
        <s v="NBP Islamic Government Securities Plan III"/>
        <s v="NBP Islamic Income Fund"/>
        <s v="NBP Islamic Mahana Amdani Fund"/>
        <s v="NBP Islamic Savings Fund"/>
        <s v="NBP Riba Free Savings Fund"/>
        <s v="NIT Islamic Income Fund"/>
        <s v="Pak Oman Advantage Islamic Income Fund"/>
        <s v="Pak Qatar Income Plan"/>
        <s v="Pak Qatar Khalis Bachat Plan"/>
        <s v="Pak Qatar Monthly Income Plan"/>
        <s v="786 Smart Fund"/>
        <s v="ABL Islamic Stock Fund"/>
        <s v="AKD Islamic Stock Fund"/>
        <s v="Al Ameen Islamic Energy Fund"/>
        <s v="Al Ameen Shariah Stock Fund"/>
        <s v="AL Habib Islamic Stock Fund"/>
        <s v="Al Meezan Mutual Fund"/>
        <s v="Alfalah GHP Islamic Stock Fund"/>
        <s v="Alhamra Islamic Stock Fund"/>
        <s v="Alhamra Opportunity Fund (Dividend Strategy Plan)"/>
        <s v="Atlas Islamic Stock Fund"/>
        <s v="AWT Islamic Stock Fund"/>
        <s v="Faysal Islamic Stock Fund"/>
        <s v="Faysal Islamic Stock Fund II"/>
        <s v="HBL Islamic Equity Fund"/>
        <s v="HBL Islamic Stock Fund"/>
        <s v="JS Islamic Fund"/>
        <s v="Lucky Islamic Energy Fund"/>
        <s v="Lucky Islamic Stock Fund"/>
        <s v="Meezan Energy Fund"/>
        <s v="Meezan Islamic Fund"/>
        <s v="NBP Islamic Energy Fund"/>
        <s v="NBP Islamic Stock Fund"/>
        <s v="NIT Islamic Equity Fund"/>
        <s v="Pak Qatar Islamic Stock Fund"/>
        <s v="JS Islamic Sarmaya Mehfooz Fund (JS Islamic Sarmaya Mehfooz Plan 1)"/>
        <s v="JS Islamic Sarmaya Mehfooz Fund Plan 2 2020"/>
        <s v="Meezan Capital Protected Fund III (Meezan Capital Secure Plan I)"/>
        <s v="NBP Islamic Principal Protection Fund I (NBP Islamic Principal Protection Plan I)"/>
        <s v="NBP Islamic Principal Protection Fund I (NBP Islamic Principal Protection Plan II)"/>
        <s v="NBP Islamic Principal Protection Fund I (NBP Islamic Principal Protection Plan III)"/>
        <s v="NBP Islamic Principal Protection Fund I (NBP Islamic Principal Protection Plan IV)"/>
        <s v="ABL Islamic Fixed Term Plan V"/>
        <s v="Alfalah Islamic Stable Return Fund Plan XII"/>
        <s v="Alfalah Islamic Stable Return Fund Plan XIII"/>
        <s v="Alhamra Wada Fund (Alhamra Wada Plan XVI)"/>
        <s v="Faysal Islamic Mustakil Munafa Fund (Faysal Islamic Mehdood Muddat Plan I)"/>
        <s v="Faysal Islamic Mustakil Munafa Fund (Faysal Islamic Mehdood Muddat Plan VI)"/>
        <s v="Faysal Islamic Mustakil Munafa Fund (Faysal Islamic Mehdood Muddat Plan XVI)"/>
        <s v="Faysal Islamic Mustakil Munafa Fund (Faysal Islamic Mehdood Muddat Plan XVII)"/>
        <s v="HBL Islamic Fixed Term Fund Plan II"/>
        <s v="Lucky Islamic Fixed Term Fund Plan VII"/>
        <s v="Lucky Islamic Fixed Term Fund Plan XII"/>
        <s v="Lucky Islamic Fixed Term Fund Plan XIII"/>
        <s v="Meezan Paidaar Munafa Plan 34"/>
        <s v="Meezan Paidaar Munafa Plan 37"/>
        <s v="Meezan Paidaar Munafa Plan 38"/>
        <s v="Meezan Paidaar Munafa Plan 39"/>
        <s v="Meezan Paidaar Munafa Plan 41"/>
        <s v="NBP Islamic Fixed Term Munafa Plan IIA (NBP Islamic Mustahkam Fund)"/>
        <s v="NBP Islamic Fixed Term Munafa Plan IVA (NBP Islamic Mustahkam Fund)"/>
        <s v="NBP Islamic Fixed Term Munafa Plan VA (NBP Islamic Mustahkam Fund)"/>
        <s v="NBP Islamic Fixed Term Munafa Plan VIA (NBP Islamic Mustahkam Fund)"/>
        <s v="ABL Islamic Financial Planning Fund (Capital Preservation Plan I)"/>
        <s v="Al Ameen Islamic Aggressive Income Fund"/>
        <s v="Al Ameen Islamic Aggressive Income Plan I"/>
        <s v="Faysal Islamic Financial Growth Fund (Faysal Islamic Financial Growth Plan I)"/>
        <s v="Faysal Islamic Financial Growth Fund (Faysal Islamic Financial Growth Plan II)"/>
        <s v="Faysal Islamic Financial Growth Fund II"/>
        <s v="Meezan Balanced Fund"/>
        <s v="ABL Islamic Asset Allocation Fund"/>
        <s v="Al Ameen Islamic Asset Allocation Fund"/>
        <s v="Alfalah GHP Islamic Value Fund"/>
        <s v="Alhamra Islamic Asset Allocation Fund"/>
        <s v="AWT Islamic Asset Allocation Fund"/>
        <s v="Faysal Islamic Asset Allocation Fund"/>
        <s v="Faysal Islamic Asset Allocation Fund II"/>
        <s v="Faysal Islamic Asset Allocation Fund III (Faysal Shariah Flex Plan I)"/>
        <s v="Faysal Islamic Asset Allocation Fund III (Faysal Shariah Flex Plan II)"/>
        <s v="Faysal Islamic Asset Allocation Fund III (Faysal Shariah Flex Plan III)"/>
        <s v="HBL Islamic Asset Allocation Fund"/>
        <s v="Lakson Islamic Tactical Fund"/>
        <s v="Meezan Asset Allocation Fund"/>
        <s v="Meezan Dynamic Asset Allocation Fund (Meezan Dividend Yield Plan)"/>
        <s v="NBP Islamic Sarmaya Izafa Fund"/>
        <s v="Pak Oman Islamic Asset Allocation Fund"/>
        <s v="Pak Qatar Asset Allocation Plan I (PQAAP  IA)"/>
        <s v="Pak Qatar Asset Allocation Plan II (PQAAP  IIA)"/>
        <s v="Pak-Qatar Asset Allocation Plan III (PQAAP  IIIA)"/>
        <s v="ABL Islamic Financial Planning Fund (Active Allocation Plan)"/>
        <s v="ABL Islamic Financial Planning Fund (Conservative Allocation Plan)"/>
        <s v="Alfalah GHP Islamic Prosperity Planning Fund (Alfalah GHP Islamic Active Allocation Plan II)"/>
        <s v="Alfalah GHP Islamic Prosperity Planning Fund (Alfalah GHP Islamic Balance Allocation Plan)"/>
        <s v="Alfalah GHP Islamic Prosperity Planning Fund (Alfalah GHP Islamic Moderate Allocation Plan)"/>
        <s v="Alfalah KTrade Islamic Plan VII"/>
        <s v="Alhamra Smart Portfolio"/>
        <s v="Atlas Islamic Fund of Funds (Atlas Aggressive Allocation Islamic Plan)"/>
        <s v="Atlas Islamic Fund of Funds (Atlas Conservative Allocation Islamic Plan)"/>
        <s v="Atlas Islamic Fund of Funds (Atlas Moderate Allocation Islamic Plan)"/>
        <s v="Faysal Islamic Financial Planning Fund II (Faysal Priority Ascend Plan I)"/>
        <s v="Faysal Islamic Financial Planning Fund II (Faysal Priority Ascend Plan II)"/>
        <s v="Faysal Islamic Financial Planning Fund II (Faysal Priority Ascend Plan III)"/>
        <s v="Faysal Khushal Mustaqbil Fund (Faysal Barak’ah Women Savers Plan)"/>
        <s v="Faysal Khushal Mustaqbil Fund (Faysal Nu’umah Women Savers Plan)"/>
        <s v="Meezan Financial Planning Fund of Funds (Aggressive)"/>
        <s v="Meezan Financial Planning Fund of Funds (Conservative)"/>
        <s v="Meezan Financial Planning Fund of Funds (MAAP I)"/>
        <s v="Meezan Financial Planning Fund of Funds (Moderate)"/>
        <s v="Meezan Financial Planning Fund of Funds (Very Conservative Allocation Plan)"/>
        <s v="Meezan Strategic Allocation Fund (MSAP I)"/>
        <s v="Meezan Strategic Allocation Fund (MSAP II)"/>
        <s v="Meezan Strategic Allocation Fund (MSAP III)"/>
        <s v="Meezan Strategic Allocation Fund (MSAP IV)"/>
        <s v="Meezan Strategic Allocation Fund (MSAP V)"/>
        <s v="KSE Meezan Index Fund"/>
        <s v="Meezan Gold Fund"/>
        <s v="Alfalah GHP Dedicated Equity Fund"/>
        <s v="ABL Islamic Dedicated Stock Fund"/>
        <s v="Alfalah GHP Islamic Dedicated Equity Fund"/>
        <s v="Atlas Islamic Dedicated Stock Fund"/>
        <s v="Faysal Islamic Dedicated Equity Fund"/>
        <s v="Meezan Dedicated Equity Fund"/>
        <s v="ABL Pension Fund"/>
        <s v="AL Habib Pension Fund"/>
        <s v="Alfalah GHP Pension Fund"/>
        <s v="Alfalah Pension Fund - II"/>
        <s v="Atlas Pension Fund"/>
        <s v="HBL Pension Fund"/>
        <s v="JS Pension Savings Fund"/>
        <s v="NAFA Pension Fund"/>
        <s v="NIT Pension Fund"/>
        <s v="Pakistan Pension Fund"/>
        <s v="UBL Retirement Saving Fund"/>
        <s v="ABL Islamic Pension Fund"/>
        <s v="Al Ameen Islamic Retirement Savings Fund"/>
        <s v="AL Habib Islamic Pension Fund"/>
        <s v="Alfalah GHP Islamic Pension Fund"/>
        <s v="Alhamra Islamic Pension Fund"/>
        <s v="Atlas Pension Islamic Fund"/>
        <s v="AWT Islamic Pension Fund"/>
        <s v="EFU Hemayah Pension Fund"/>
        <s v="Faysal Islamic Pension Fund"/>
        <s v="HBL Islamic Pension Fund"/>
        <s v="JS Islamic Pension Savings Fund"/>
        <s v="Lucky Islamic Pension Fund"/>
        <s v="Mahaana IGI Islamic Retirement Fund"/>
        <s v="Meezan Tahaffuz Pension Fund"/>
        <s v="NAFA Islamic Pension Fund"/>
        <s v="NIT Islamic Pension Fund"/>
        <s v="Pak Qatar Islamic Pension Fund"/>
        <s v="Alfalah Consumer Index Exchange Traded Fund"/>
        <s v="JS Momentum Factor Exchange Traded Fund"/>
        <s v="NBP Pakistan Growth Exchange Traded Fund"/>
        <s v="NIT Pakistan Gateway Exchange Traded Fund"/>
        <s v="UBL Pakistan Enterprise Exchange Traded Fund"/>
        <s v="HBL Total Treasury Exchange Traded Fund"/>
        <s v="Mahaana Islamic Index Exchange Traded Fund"/>
        <s v="Meezan Pakistan ETF"/>
        <s v="ABL GOKP Pension Fund"/>
        <s v="AL Habib GOKP Pension Fund"/>
        <s v="Alfalah KPK Employee Pension Fund"/>
        <s v="HBL KPK Pension Fund"/>
        <s v="JS KPK Pension Fund"/>
        <s v="MCB KPK Govt Employees Pension Fund"/>
        <s v="NBP GoKP Pension Fund"/>
        <s v="UBL Voluntary Pension Fund KPK"/>
        <s v="ABL GOPB Pension Fund"/>
        <s v="Alfalah GOPB Pension Fund"/>
        <s v="Atlas Punjab Pension Fund"/>
        <s v="JS Punjab Pension Fund"/>
        <s v="MCB Punjab Pension Fund"/>
        <s v="NBP Punjab Pension Fund"/>
        <s v="NIT KP Pension Fund"/>
        <s v="UBL Punjab Pension Fund"/>
        <s v="ABL GOKP Islamic Pension Fund"/>
        <s v="Al Ameen Voluntary Pension Fund KPK"/>
        <s v="AL Habib GOKP Islamic Pension Fund"/>
        <s v="Alfalah Islamic KPK Employee Pension Fund"/>
        <s v="Atlas KPK Islamic Pension Fund"/>
        <s v="Faysal Islamic KPK Government Pension Fund"/>
        <s v="HBL KPK Islamic Pension Fund"/>
        <s v="JS KPK Islamic Pension Fund"/>
        <s v="Meezan Islamic Government of Punjab Pension Fund"/>
        <s v="NBP GoKP Islamic Pension Fund"/>
        <s v="ABL GOPB Islamic Pension Fund"/>
        <s v="Al Ameen Islamic Punjab Pension Fund"/>
        <s v="Alhamra Islamic Punjab Pension Fund"/>
        <s v="Atlas Punjab Islamic Pension Fund"/>
        <s v="Faysal Islamic Punjab Pension Fund"/>
        <s v="JS Punjab Islamic Pension Fund"/>
        <s v="Lucky Islamic Punjab Pension Fund"/>
        <s v="MCB Alhamra KPK Govt Employees Pension Fund"/>
        <s v="Meezan GOKP Pension Fund"/>
        <s v="NBP Islamic Punjab Pension Fund"/>
        <s v="NIT KP Islamic Pension Fund"/>
        <s v="Pak Qatar GoKP Islamic Pension Fund"/>
        <s v="Pak Qatar GoPB Islamic Pension Fund"/>
        <s v="Rating"/>
      </sharedItems>
    </cacheField>
    <cacheField name="Rating" numFmtId="0">
      <sharedItems containsBlank="1">
        <s v="AA+(f)"/>
        <s v="AAA(f)"/>
        <s v="AA(f)"/>
        <m/>
        <s v="A+(f)"/>
        <s v="AA-(f)"/>
        <s v="A(f)"/>
        <s v="Benchmark"/>
      </sharedItems>
    </cacheField>
    <cacheField name="NAV">
      <sharedItems containsMixedTypes="1" containsNumber="1" containsInteger="1">
        <s v="N/A"/>
        <s v="Nil"/>
        <n v="12.0"/>
        <s v="Average three (3) months PKRV Rates"/>
        <n v="23.0"/>
        <s v="Validity Date"/>
      </sharedItems>
    </cacheField>
    <cacheField name="YTD">
      <sharedItems containsDate="1" containsMixedTypes="1">
        <d v="2026-03-30T00:00:00Z"/>
        <d v="2026-03-27T00:00:00Z"/>
        <d v="2026-03-28T00:00:00Z"/>
        <d v="2026-03-29T00:00:00Z"/>
        <d v="2026-03-26T00:00:00Z"/>
        <d v="2026-03-25T00:00:00Z"/>
        <d v="2026-03-24T00:00:00Z"/>
        <d v="2026-03-17T00:00:00Z"/>
        <d v="2026-03-09T00:00:00Z"/>
        <d v="2026-03-10T00:00:00Z"/>
        <d v="2026-03-18T00:00:00Z"/>
        <d v="2026-03-04T00:00:00Z"/>
        <d v="2026-03-13T00:00:00Z"/>
        <d v="2026-03-12T00:00:00Z"/>
        <d v="2026-03-11T00:00:00Z"/>
        <s v="NAV"/>
      </sharedItems>
    </cacheField>
    <cacheField name="MTD">
      <sharedItems containsMixedTypes="1" containsNumber="1">
        <n v="11.0216"/>
        <n v="10.7282"/>
        <n v="55.8398"/>
        <n v="109.1993"/>
        <n v="107.9552"/>
        <n v="110.1617"/>
        <n v="539.7433"/>
        <n v="106.3205"/>
        <n v="111.151"/>
        <n v="110.6747"/>
        <n v="539.7838"/>
        <n v="552.0045"/>
        <n v="110.8919"/>
        <n v="110.8162"/>
        <n v="113.0702"/>
        <n v="119.4387"/>
        <n v="110.4361"/>
        <n v="109.8664"/>
        <n v="10.8023"/>
        <n v="10.0"/>
        <n v="11.0338"/>
        <n v="10.7691"/>
        <n v="10.5113"/>
        <n v="50.4678"/>
        <n v="107.6025"/>
        <n v="105.6822"/>
        <n v="108.8185"/>
        <n v="108.613"/>
        <n v="10.7755"/>
        <n v="10.8858"/>
        <n v="10.9298"/>
        <n v="107.776"/>
        <n v="109.7125"/>
        <n v="107.9819"/>
        <n v="107.9755"/>
        <n v="107.9829"/>
        <n v="107.916"/>
        <n v="125.6107"/>
        <n v="122.5677"/>
        <n v="113.8119"/>
        <n v="133.726"/>
        <n v="105.0932"/>
        <n v="105.8694"/>
        <n v="112.2606"/>
        <n v="111.1438"/>
        <n v="111.3504"/>
        <n v="567.5611"/>
        <n v="109.672"/>
        <n v="105.5794"/>
        <n v="116.7417"/>
        <n v="109.4986"/>
        <n v="101.6918"/>
        <n v="122.2379"/>
        <n v="121.2221"/>
        <n v="117.6845"/>
        <n v="123.2696"/>
        <n v="117.2817"/>
        <n v="109.5542"/>
        <n v="116.6317"/>
        <n v="107.0949"/>
        <n v="58.19"/>
        <n v="11.4935"/>
        <n v="10.7399"/>
        <n v="10.6066"/>
        <n v="11.2122"/>
        <n v="12.0469"/>
        <n v="10.1169"/>
        <n v="11.1056"/>
        <n v="10.9346"/>
        <n v="10.6443"/>
        <n v="11.0401"/>
        <n v="11.0961"/>
        <n v="11.5248"/>
        <n v="108.6587"/>
        <n v="62.8879"/>
        <n v="113.9274"/>
        <n v="116.3571"/>
        <n v="33.6982"/>
        <n v="183.4672"/>
        <n v="157.3036"/>
        <n v="101.59"/>
        <n v="174.2305"/>
        <n v="68.7861"/>
        <n v="86.6346"/>
        <n v="84.9656"/>
        <n v="1873.1088"/>
        <n v="15.3891"/>
        <n v="30.9058"/>
        <n v="30.634"/>
        <n v="197.8942"/>
        <n v="39.5869"/>
        <n v="35.3284"/>
        <n v="14.2978"/>
        <n v="16.5708"/>
        <n v="190.8739"/>
        <n v="469.93"/>
        <n v="377.92"/>
        <n v="287.3689"/>
        <n v="329.0627"/>
        <n v="136.1"/>
        <n v="22.8087"/>
        <n v="38.512"/>
        <n v="309.9236"/>
        <n v="236.66"/>
        <n v="10.8746"/>
        <n v="11.3515"/>
        <n v="10.938"/>
        <n v="10.2079"/>
        <n v="10.835"/>
        <n v="10.8152"/>
        <n v="142.1111"/>
        <n v="114.5913"/>
        <n v="100.8735"/>
        <n v="109.1252"/>
        <n v="10.7884"/>
        <n v="10.3434"/>
        <n v="10.319"/>
        <n v="10.1182"/>
        <n v="107.2294"/>
        <n v="107.7537"/>
        <n v="105.9378"/>
        <n v="106.1186"/>
        <n v="100.3461"/>
        <n v="100.7144"/>
        <n v="104.415"/>
        <n v="107.1984"/>
        <n v="105.3495"/>
        <n v="104.4165"/>
        <n v="104.3733"/>
        <n v="103.236"/>
        <n v="100.1138"/>
        <n v="104.9579"/>
        <n v="106.2746"/>
        <n v="104.2668"/>
        <n v="112.7915"/>
        <n v="99.4155"/>
        <n v="108.5404"/>
        <n v="100.2641"/>
        <n v="87.0849"/>
        <n v="108.2814"/>
        <n v="102.5463"/>
        <n v="101.3118"/>
        <n v="97.6107"/>
        <n v="99.8524"/>
        <n v="100.5144"/>
        <n v="107.9442"/>
        <n v="105.0747"/>
        <n v="100.3056"/>
        <n v="100.0402"/>
        <n v="10.2417"/>
        <n v="10.4374"/>
        <n v="10.0144"/>
        <n v="10.732"/>
        <n v="10.061"/>
        <n v="107.9598"/>
        <n v="108.8148"/>
        <n v="108.1901"/>
        <n v="103.9901"/>
        <n v="106.7828"/>
        <n v="107.3082"/>
        <n v="107.4338"/>
        <n v="60.0652"/>
        <n v="62.2911"/>
        <n v="125.1202"/>
        <n v="109.3839"/>
        <n v="109.1544"/>
        <n v="63.1947"/>
        <n v="91.7144"/>
        <n v="198.6499"/>
        <n v="39.19"/>
        <n v="28.59"/>
        <n v="399.12"/>
        <n v="9.9201"/>
        <n v="114.4666"/>
        <n v="70.7142"/>
        <n v="148.2347"/>
        <n v="95.5757"/>
        <n v="81.557"/>
        <n v="15.4063"/>
        <n v="193.9356"/>
        <n v="107.394"/>
        <n v="219.5088"/>
        <n v="338.0192"/>
        <n v="35.7345"/>
        <n v="18.9735"/>
        <n v="41.3225"/>
        <n v="305.8913"/>
        <n v="119.2513"/>
        <n v="91.9701"/>
        <n v="108.6669"/>
        <n v="119.1789"/>
        <n v="113.3864"/>
        <n v="110.1382"/>
        <n v="121.8622"/>
        <n v="144.01"/>
        <n v="36.9258"/>
        <n v="10.0726"/>
        <n v="10.7646"/>
        <n v="52.8344"/>
        <n v="108.5774"/>
        <n v="108.1287"/>
        <n v="107.48"/>
        <n v="100.5171"/>
        <n v="100.0"/>
        <n v="107.7079"/>
        <n v="100.1811"/>
        <n v="107.8567"/>
        <n v="99.51"/>
        <n v="538.3568"/>
        <n v="543.5892"/>
        <n v="126.7871"/>
        <n v="108.8458"/>
        <n v="106.9763"/>
        <n v="108.7485"/>
        <n v="107.6154"/>
        <n v="111.347"/>
        <n v="108.7663"/>
        <n v="107.5895"/>
        <n v="114.5891"/>
        <n v="54.9963"/>
        <n v="50.7561"/>
        <n v="50.0"/>
        <n v="10.9219"/>
        <n v="108.8513"/>
        <n v="9.9919"/>
        <n v="115.0444"/>
        <n v="121.61"/>
        <n v="107.3523"/>
        <n v="10.9574"/>
        <n v="10.6304"/>
        <n v="55.106"/>
        <n v="106.3159"/>
        <n v="108.5639"/>
        <n v="108.6933"/>
        <n v="107.1216"/>
        <n v="109.8452"/>
        <n v="97.754"/>
        <n v="116.0711"/>
        <n v="106.2428"/>
        <n v="105.8598"/>
        <n v="110.2665"/>
        <n v="550.9885"/>
        <n v="113.3049"/>
        <n v="103.4954"/>
        <n v="102.45"/>
        <n v="111.946"/>
        <n v="106.0106"/>
        <n v="105.5011"/>
        <n v="10.7674"/>
        <n v="111.4126"/>
        <n v="111.6391"/>
        <n v="107.7149"/>
        <n v="53.998"/>
        <n v="53.5362"/>
        <n v="53.6859"/>
        <n v="55.1605"/>
        <n v="55.4711"/>
        <n v="10.6008"/>
        <n v="10.7619"/>
        <n v="10.805"/>
        <n v="10.2544"/>
        <n v="11.0907"/>
        <n v="10.3727"/>
        <n v="55.8118"/>
        <n v="125.0851"/>
        <n v="122.1029"/>
        <n v="100.5128"/>
        <n v="90.0355"/>
        <n v="29.857"/>
        <n v="95.1194"/>
        <n v="311.7602"/>
        <n v="448.87"/>
        <n v="161.4462"/>
        <n v="43.8417"/>
        <n v="64.0913"/>
        <n v="27.31"/>
        <n v="198.3962"/>
        <n v="1421.6959"/>
        <n v="167.3668"/>
        <n v="108.0371"/>
        <n v="121.458"/>
        <n v="179.223"/>
        <n v="222.8812"/>
        <n v="229.95"/>
        <n v="86.3297"/>
        <n v="121.21"/>
        <n v="54.6442"/>
        <n v="146.0396"/>
        <n v="20.5312"/>
        <n v="22.1011"/>
        <n v="17.75"/>
        <n v="245.0433"/>
        <n v="97.0641"/>
        <n v="96.0415"/>
        <n v="50.0199"/>
        <n v="10.0224"/>
        <n v="9.9265"/>
        <n v="9.6561"/>
        <n v="10.0601"/>
        <n v="10.0856"/>
        <n v="101.3697"/>
        <n v="100.9894"/>
        <n v="101.5715"/>
        <n v="124.1545"/>
        <n v="108.3589"/>
        <n v="102.6716"/>
        <n v="101.3694"/>
        <n v="100.2819"/>
        <n v="50.2016"/>
        <n v="50.6406"/>
        <n v="50.3533"/>
        <n v="50.3508"/>
        <n v="50.1674"/>
        <n v="10.1056"/>
        <n v="10.0518"/>
        <n v="10.0125"/>
        <n v="110.0835"/>
        <n v="108.0434"/>
        <n v="119.5888"/>
        <n v="106.8292"/>
        <n v="107.0593"/>
        <n v="103.0343"/>
        <n v="26.4745"/>
        <n v="10.1513"/>
        <n v="214.4233"/>
        <n v="138.3066"/>
        <n v="197.7422"/>
        <n v="165.0809"/>
        <n v="96.9126"/>
        <n v="111.0335"/>
        <n v="103.5118"/>
        <n v="103.3677"/>
        <n v="101.692"/>
        <n v="280.5898"/>
        <n v="86.2185"/>
        <n v="103.088"/>
        <n v="80.3557"/>
        <n v="32.1402"/>
        <n v="39.9763"/>
        <n v="127.8663"/>
        <n v="125.0422"/>
        <n v="159.9493"/>
        <n v="94.5299"/>
        <n v="123.7693"/>
        <n v="92.5046"/>
        <n v="108.5734"/>
        <n v="115.2231"/>
        <n v="131.0554"/>
        <n v="164.8562"/>
        <n v="1326.9355"/>
        <n v="901.0434"/>
        <n v="1147.1923"/>
        <n v="113.2195"/>
        <n v="105.8955"/>
        <n v="107.4958"/>
        <n v="106.4916"/>
        <n v="106.5212"/>
        <n v="167.4971"/>
        <n v="118.8725"/>
        <n v="128.5192"/>
        <n v="137.1598"/>
        <n v="54.1894"/>
        <n v="87.9434"/>
        <n v="74.8854"/>
        <n v="83.2731"/>
        <n v="87.381"/>
        <n v="98.4286"/>
        <n v="165.3285"/>
        <n v="313.06"/>
        <n v="182.8416"/>
        <n v="16.3407"/>
        <n v="105.1422"/>
        <n v="1457.81"/>
        <n v="107.0871"/>
        <n v="82.5436"/>
        <n v="280.3724"/>
        <n v="177.6894"/>
        <n v="250.0343"/>
        <n v="0.0"/>
        <n v="600.57"/>
        <n v="363.2197"/>
        <n v="487.0885"/>
        <n v="334.189"/>
        <n v="28.6379"/>
        <n v="545.1"/>
        <n v="421.4011"/>
        <n v="367.2934"/>
        <n v="182.0008"/>
        <n v="243.5461"/>
        <n v="107.013"/>
        <n v="644.59"/>
        <n v="431.5736"/>
        <n v="592.8636"/>
        <n v="389.4806"/>
        <n v="29.1726"/>
        <n v="630.68"/>
        <n v="547.3321"/>
        <n v="52.3156"/>
        <n v="505.17"/>
        <n v="573.9779"/>
        <n v="466.2158"/>
        <n v="296.5684"/>
        <n v="177.2079"/>
        <n v="2138.21"/>
        <n v="895.0702"/>
        <n v="1540.8186"/>
        <n v="1233.0754"/>
        <n v="30.0727"/>
        <n v="2138.8"/>
        <n v="3037.9709"/>
        <n v="228.3014"/>
        <n v="357.7963"/>
        <n v="163.8552"/>
        <n v="218.9031"/>
        <n v="418.57"/>
        <n v="500.76"/>
        <n v="110.0332"/>
        <n v="101.4615"/>
        <n v="183.7304"/>
        <n v="315.7864"/>
        <n v="415.6168"/>
        <n v="103.5952"/>
        <n v="10.8073"/>
        <n v="512.6954"/>
        <n v="297.404"/>
        <n v="25.3839"/>
        <n v="162.2162"/>
        <n v="225.1509"/>
        <n v="370.1722"/>
        <n v="165.65"/>
        <n v="211.9292"/>
        <n v="456.6"/>
        <n v="472.72"/>
        <n v="111.8023"/>
        <n v="99.7483"/>
        <n v="178.9383"/>
        <n v="333.4884"/>
        <n v="436.751"/>
        <n v="103.7576"/>
        <n v="10.9161"/>
        <n v="514.7592"/>
        <n v="291.4121"/>
        <n v="25.5965"/>
        <n v="165.4228"/>
        <n v="110.538"/>
        <n v="580.8433"/>
        <n v="541.9646"/>
        <n v="2573.3253"/>
        <n v="413.8203"/>
        <n v="288.2764"/>
        <n v="1909.01"/>
        <n v="2394.99"/>
        <n v="115.3614"/>
        <n v="82.9371"/>
        <n v="318.3482"/>
        <n v="1034.9987"/>
        <n v="1707.7457"/>
        <n v="94.6491"/>
        <n v="11.4011"/>
        <n v="1569.6551"/>
        <n v="1080.4097"/>
        <n v="29.0694"/>
        <n v="280.8097"/>
        <n v="14.95"/>
        <n v="9.7499"/>
        <n v="27.9236"/>
        <n v="33.4306"/>
        <n v="36.1037"/>
        <n v="110.3341"/>
        <n v="15.62"/>
        <n v="18.6445"/>
        <n v="128.6237"/>
        <n v="136.3274"/>
        <n v="135.8854"/>
        <n v="135.9631"/>
        <n v="138.2957"/>
        <n v="137.4654"/>
        <n v="138.4117"/>
        <n v="139.3092"/>
        <n v="103.0629"/>
        <n v="100.1313"/>
        <n v="103.6114"/>
        <n v="102.362"/>
        <n v="102.8156"/>
        <n v="102.0465"/>
        <n v="135.9942"/>
        <n v="102.6058"/>
        <n v="121.3532"/>
        <n v="131.1812"/>
        <n v="132.291"/>
        <n v="130.6744"/>
        <n v="136.28"/>
        <n v="132.0136"/>
        <n v="132.7315"/>
        <n v="136.311"/>
        <n v="103.3934"/>
        <n v="136.4047"/>
        <n v="101.938"/>
        <n v="101.4779"/>
        <n v="101.8694"/>
        <n v="103.202"/>
        <n v="102.8988"/>
        <n v="102.2876"/>
        <n v="135.7347"/>
        <n v="140.0687"/>
        <n v="101.7694"/>
        <n v="132.0674"/>
        <n v="101.6212"/>
        <n v="101.6462"/>
        <s v="YTD"/>
      </sharedItems>
    </cacheField>
    <cacheField name="1 Day">
      <sharedItems containsMixedTypes="1" containsNumber="1">
        <n v="10.03"/>
        <n v="9.53"/>
        <n v="10.01"/>
        <n v="10.15"/>
        <n v="10.11"/>
        <n v="9.95"/>
        <n v="9.41"/>
        <n v="9.97"/>
        <n v="9.1"/>
        <n v="10.31"/>
        <n v="10.4"/>
        <n v="9.76"/>
        <n v="9.34"/>
        <n v="10.55"/>
        <n v="9.91"/>
        <n v="9.88"/>
        <n v="9.62"/>
        <n v="9.78"/>
        <n v="9.5"/>
        <n v="9.92"/>
        <n v="10.29"/>
        <n v="9.8"/>
        <n v="9.65"/>
        <n v="10.44"/>
        <n v="9.67"/>
        <n v="10.25"/>
        <n v="9.56"/>
        <n v="9.7"/>
        <n v="9.86"/>
        <n v="9.9"/>
        <n v="10.83"/>
        <n v="10.82"/>
        <n v="10.21"/>
        <n v="13.04"/>
        <n v="9.75"/>
        <n v="7.59"/>
        <n v="8.11"/>
        <n v="6.55"/>
        <n v="7.81"/>
        <n v="11.24"/>
        <n v="8.8"/>
        <n v="9.14"/>
        <n v="9.18"/>
        <n v="7.06"/>
        <n v="7.4"/>
        <n v="9.39"/>
        <n v="16.19"/>
        <n v="9.69"/>
        <n v="9.59"/>
        <n v="6.75"/>
        <n v="7.86"/>
        <n v="11.4"/>
        <n v="8.76"/>
        <n v="9.07"/>
        <n v="7.76"/>
        <n v="8.97"/>
        <n v="10.35"/>
        <n v="14.18"/>
        <n v="10.08"/>
        <n v="10.61"/>
        <n v="13.87"/>
        <n v="7.7"/>
        <n v="10.84"/>
        <n v="7.73"/>
        <n v="14.44"/>
        <n v="19.32"/>
        <n v="9.33"/>
        <n v="10.59"/>
        <n v="19.02"/>
        <n v="10.3"/>
        <n v="21.95"/>
        <n v="20.71"/>
        <n v="18.46"/>
        <n v="8.02"/>
        <n v="-13.37"/>
        <n v="-15.03"/>
        <n v="17.11"/>
        <n v="14.8"/>
        <n v="5.72"/>
        <n v="14.47"/>
        <n v="6.13"/>
        <n v="-6.39"/>
        <n v="11.87"/>
        <n v="-6.02"/>
        <n v="12.67"/>
        <n v="11.98"/>
        <n v="19.73"/>
        <n v="17.77"/>
        <n v="27.37"/>
        <n v="1.07"/>
        <n v="45.12"/>
        <n v="19.27"/>
        <n v="34.12"/>
        <n v="14.67"/>
        <n v="7.58"/>
        <n v="8.16"/>
        <n v="7.12"/>
        <n v="8.17"/>
        <n v="7.05"/>
        <n v="7.55"/>
        <n v="5.16"/>
        <n v="7.24"/>
        <n v="9.22"/>
        <n v="9.31"/>
        <n v="10.66"/>
        <n v="10.99"/>
        <n v="10.88"/>
        <n v="10.52"/>
        <n v="10.34"/>
        <n v="6.32"/>
        <n v="8.99"/>
        <n v="5.84"/>
        <n v="9.81"/>
        <n v="9.77"/>
        <n v="10.23"/>
        <n v="9.93"/>
        <n v="2.19"/>
        <n v="10.22"/>
        <n v="10.74"/>
        <n v="16.55"/>
        <n v="-3.44"/>
        <n v="1.55"/>
        <n v="-87.45"/>
        <n v="8.95"/>
        <n v="5.28"/>
        <n v="3.55"/>
        <n v="-37.92"/>
        <n v="-3.37"/>
        <n v="9.79"/>
        <n v="10.12"/>
        <n v="6.97"/>
        <s v="N/A"/>
        <n v="7.74"/>
        <n v="9.28"/>
        <n v="1.64"/>
        <n v="9.54"/>
        <n v="4.37"/>
        <n v="10.68"/>
        <n v="14.7"/>
        <n v="10.76"/>
        <n v="6.69"/>
        <n v="9.83"/>
        <n v="16.86"/>
        <n v="19.12"/>
        <n v="10.18"/>
        <n v="6.16"/>
        <n v="12.01"/>
        <n v="20.1"/>
        <n v="9.46"/>
        <n v="6.99"/>
        <n v="17.15"/>
        <n v="20.13"/>
        <n v="21.41"/>
        <n v="-0.8"/>
        <n v="14.16"/>
        <n v="14.11"/>
        <n v="48.6"/>
        <n v="-6.97"/>
        <n v="16.08"/>
        <n v="19.54"/>
        <n v="4.27"/>
        <n v="17.12"/>
        <n v="20.33"/>
        <n v="34.46"/>
        <n v="20.01"/>
        <n v="13.89"/>
        <n v="1.24"/>
        <n v="12.64"/>
        <n v="8.5"/>
        <n v="17.17"/>
        <n v="15.72"/>
        <n v="14.32"/>
        <n v="47.1"/>
        <n v="21.8"/>
        <n v="7.95"/>
        <n v="20.19"/>
        <n v="9.98"/>
        <n v="10.04"/>
        <n v="9.03"/>
        <n v="9.73"/>
        <n v="8.58"/>
        <n v="7.66"/>
        <n v="10.02"/>
        <n v="9.51"/>
        <n v="9.05"/>
        <n v="9.06"/>
        <n v="9.61"/>
        <n v="10.14"/>
        <n v="9.38"/>
        <n v="9.68"/>
        <n v="9.29"/>
        <n v="10.27"/>
        <n v="4.79"/>
        <n v="10.05"/>
        <n v="9.36"/>
        <n v="8.67"/>
        <n v="8.33"/>
        <n v="8.77"/>
        <n v="9.16"/>
        <n v="9.09"/>
        <n v="8.39"/>
        <n v="3.08"/>
        <n v="7.45"/>
        <n v="8.24"/>
        <n v="9.21"/>
        <n v="7.63"/>
        <n v="7.75"/>
        <n v="9.55"/>
        <n v="10.39"/>
        <n v="9.19"/>
        <n v="7.01"/>
        <n v="6.81"/>
        <n v="8.98"/>
        <n v="6.47"/>
        <n v="10.26"/>
        <n v="9.12"/>
        <n v="9.71"/>
        <n v="8.18"/>
        <n v="8.91"/>
        <n v="8.86"/>
        <n v="8.27"/>
        <n v="7.5"/>
        <n v="8.36"/>
        <n v="5.81"/>
        <n v="9.02"/>
        <n v="9.6"/>
        <n v="11.55"/>
        <n v="6.57"/>
        <n v="15.31"/>
        <n v="14.75"/>
        <n v="10.48"/>
        <n v="10.42"/>
        <n v="13.7"/>
        <n v="26.22"/>
        <n v="11.91"/>
        <n v="11.35"/>
        <n v="12.75"/>
        <n v="20.23"/>
        <n v="12.8"/>
        <n v="7.36"/>
        <n v="5.64"/>
        <n v="-13.67"/>
        <n v="12.9"/>
        <n v="13.2"/>
        <n v="15.51"/>
        <n v="15.47"/>
        <n v="12.91"/>
        <n v="11.21"/>
        <n v="3.81"/>
        <n v="-3.96"/>
        <n v="0.04"/>
        <n v="0.54"/>
        <n v="-0.74"/>
        <n v="0.6"/>
        <n v="10.0"/>
        <n v="10.06"/>
        <n v="9.43"/>
        <n v="11.12"/>
        <n v="10.24"/>
        <n v="10.28"/>
        <n v="10.72"/>
        <n v="10.2"/>
        <n v="9.35"/>
        <n v="5.66"/>
        <n v="9.85"/>
        <n v="4.11"/>
        <n v="1.43"/>
        <n v="9.47"/>
        <n v="26.29"/>
        <n v="8.57"/>
        <n v="9.37"/>
        <n v="11.2"/>
        <n v="1.94"/>
        <n v="11.17"/>
        <n v="7.3"/>
        <n v="13.26"/>
        <n v="-8.26"/>
        <n v="3.75"/>
        <n v="3.37"/>
        <n v="1.69"/>
        <n v="10.79"/>
        <n v="0.21"/>
        <n v="8.49"/>
        <n v="18.49"/>
        <n v="15.48"/>
        <n v="0.66"/>
        <n v="7.65"/>
        <n v="7.25"/>
        <n v="11.43"/>
        <n v="11.79"/>
        <n v="6.88"/>
        <n v="1.74"/>
        <n v="7.18"/>
        <n v="10.36"/>
        <n v="4.83"/>
        <n v="7.56"/>
        <n v="13.98"/>
        <n v="11.27"/>
        <n v="12.92"/>
        <n v="13.22"/>
        <n v="5.9"/>
        <n v="7.39"/>
        <n v="6.4"/>
        <n v="6.43"/>
        <n v="8.0"/>
        <n v="6.54"/>
        <n v="9.26"/>
        <n v="9.64"/>
        <n v="9.52"/>
        <n v="9.32"/>
        <n v="9.45"/>
        <n v="18.41"/>
        <n v="35.78"/>
        <n v="15.86"/>
        <n v="12.23"/>
        <n v="7.09"/>
        <n v="8.28"/>
        <n v="9.48"/>
        <n v="-135.19"/>
        <n v="-46.87"/>
        <n v="8.62"/>
        <n v="7.14"/>
        <n v="9.08"/>
        <n v="9.3"/>
        <n v="31.57"/>
        <n v="49.11"/>
        <n v="21.96"/>
        <n v="18.87"/>
        <n v="18.65"/>
        <n v="-26.21"/>
        <n v="20.63"/>
        <n v="10.49"/>
        <n v="18.18"/>
        <n v="18.78"/>
        <n v="21.01"/>
        <n v="27.82"/>
        <n v="17.8"/>
        <n v="9.27"/>
        <n v="8.45"/>
        <n v="8.54"/>
        <n v="9.4"/>
        <n v="8.38"/>
        <n v="4.6"/>
        <n v="8.75"/>
        <n v="9.58"/>
        <n v="9.13"/>
        <n v="8.7"/>
        <n v="12.37"/>
        <n v="-0.79"/>
        <n v="6.48"/>
        <n v="9.99"/>
        <n v="9.96"/>
        <n v="10.54"/>
        <n v="35.05"/>
        <n v="15.64"/>
        <n v="8.37"/>
        <n v="11.7"/>
        <n v="14.85"/>
        <n v="14.78"/>
        <n v="-17.06"/>
        <n v="14.76"/>
        <n v="10.91"/>
        <n v="6.72"/>
        <n v="-5.35"/>
        <n v="13.78"/>
        <n v="9.94"/>
        <n v="15.54"/>
        <n v="16.75"/>
        <n v="14.77"/>
        <n v="-2.8"/>
        <n v="28.22"/>
        <n v="27.72"/>
        <n v="27.6"/>
        <n v="17.09"/>
        <n v="19.64"/>
        <n v="14.86"/>
        <n v="16.31"/>
        <n v="15.71"/>
        <n v="15.74"/>
        <n v="10.56"/>
        <n v="16.38"/>
        <n v="16.81"/>
        <n v="17.16"/>
        <n v="5.99"/>
        <n v="10.46"/>
        <n v="10.37"/>
        <n v="11.09"/>
        <n v="13.61"/>
        <n v="14.5"/>
        <n v="13.42"/>
        <n v="15.93"/>
        <n v="5.89"/>
        <n v="5.68"/>
        <n v="8.79"/>
        <n v="15.62"/>
        <n v="10.9"/>
        <n v="7.8"/>
        <s v="MTD"/>
      </sharedItems>
    </cacheField>
    <cacheField name="15 Days">
      <sharedItems containsMixedTypes="1" containsNumber="1">
        <n v="9.31"/>
        <n v="8.46"/>
        <n v="8.63"/>
        <n v="9.15"/>
        <n v="9.12"/>
        <n v="9.74"/>
        <n v="8.65"/>
        <n v="9.32"/>
        <n v="9.88"/>
        <n v="8.9"/>
        <n v="9.13"/>
        <n v="9.18"/>
        <n v="8.42"/>
        <n v="7.77"/>
        <n v="9.96"/>
        <n v="10.04"/>
        <n v="9.01"/>
        <n v="8.89"/>
        <n v="8.61"/>
        <n v="8.68"/>
        <n v="7.99"/>
        <n v="8.86"/>
        <n v="9.24"/>
        <n v="8.08"/>
        <n v="9.26"/>
        <n v="9.83"/>
        <n v="7.55"/>
        <n v="8.88"/>
        <n v="8.95"/>
        <n v="4.9"/>
        <n v="5.48"/>
        <n v="6.51"/>
        <n v="6.32"/>
        <n v="10.76"/>
        <n v="10.27"/>
        <n v="10.19"/>
        <n v="8.53"/>
        <n v="10.25"/>
        <n v="4.06"/>
        <n v="-12.55"/>
        <n v="-7.11"/>
        <n v="-27.38"/>
        <n v="-1.93"/>
        <n v="9.49"/>
        <n v="-13.05"/>
        <n v="8.62"/>
        <n v="3.95"/>
        <n v="-1.92"/>
        <n v="5.34"/>
        <n v="-7.49"/>
        <n v="6.8"/>
        <n v="10.23"/>
        <n v="-6.12"/>
        <n v="-0.47"/>
        <n v="-15.72"/>
        <n v="0.09"/>
        <n v="10.67"/>
        <n v="-4.36"/>
        <n v="2.22"/>
        <n v="-1.07"/>
        <n v="-10.15"/>
        <n v="-2.66"/>
        <n v="5.26"/>
        <n v="-6.1"/>
        <n v="6.99"/>
        <n v="8.3"/>
        <n v="9.8"/>
        <n v="-6.7"/>
        <n v="4.84"/>
        <n v="10.57"/>
        <n v="5.95"/>
        <n v="10.77"/>
        <n v="7.24"/>
        <n v="-7.47"/>
        <n v="2.47"/>
        <n v="-10.67"/>
        <n v="-10.39"/>
        <n v="-10.74"/>
        <n v="-12.2"/>
        <n v="-11.87"/>
        <n v="-13.99"/>
        <n v="-8.61"/>
        <n v="-11.25"/>
        <n v="-10.6"/>
        <n v="-9.88"/>
        <n v="-10.94"/>
        <n v="-5.24"/>
        <n v="-7.03"/>
        <n v="-9.08"/>
        <n v="-11.6"/>
        <n v="-9.11"/>
        <n v="-11.35"/>
        <n v="-11.58"/>
        <n v="-11.72"/>
        <n v="-12.69"/>
        <n v="-12.33"/>
        <n v="-10.71"/>
        <n v="-10.41"/>
        <n v="-11.41"/>
        <n v="-12.53"/>
        <n v="-12.91"/>
        <n v="0.7"/>
        <n v="0.75"/>
        <n v="0.62"/>
        <n v="0.47"/>
        <n v="0.6"/>
        <n v="-1.61"/>
        <n v="0.64"/>
        <n v="10.22"/>
        <n v="0.92"/>
        <n v="9.85"/>
        <n v="9.71"/>
        <n v="9.66"/>
        <n v="9.63"/>
        <n v="-12.29"/>
        <n v="8.7"/>
        <n v="5.19"/>
        <n v="7.25"/>
        <n v="-21.88"/>
        <n v="2.57"/>
        <n v="4.57"/>
        <n v="3.2"/>
        <n v="-2.51"/>
        <n v="2.19"/>
        <n v="7.98"/>
        <n v="10.18"/>
        <n v="10.35"/>
        <n v="-32.03"/>
        <n v="-7.32"/>
        <n v="9.03"/>
        <n v="-1.98"/>
        <n v="5.86"/>
        <n v="3.63"/>
        <n v="-25.6"/>
        <n v="-23.06"/>
        <n v="-37.92"/>
        <n v="-3.37"/>
        <n v="3.84"/>
        <n v="7.4"/>
        <n v="6.97"/>
        <n v="14.67"/>
        <s v="N/A"/>
        <n v="11.2"/>
        <n v="6.46"/>
        <n v="10.9"/>
        <n v="7.14"/>
        <n v="9.22"/>
        <n v="1.9"/>
        <n v="5.61"/>
        <n v="4.56"/>
        <n v="9.99"/>
        <n v="1.79"/>
        <n v="-7.82"/>
        <n v="-8.47"/>
        <n v="-9.5"/>
        <n v="-8.42"/>
        <n v="-5.57"/>
        <n v="-9.78"/>
        <n v="-10.45"/>
        <n v="0.23"/>
        <n v="-12.72"/>
        <n v="-10.19"/>
        <n v="-5.7"/>
        <n v="-1.48"/>
        <n v="-6.29"/>
        <n v="-9.39"/>
        <n v="-11.68"/>
        <n v="-5.33"/>
        <n v="-9.54"/>
        <n v="-8.91"/>
        <n v="-0.44"/>
        <n v="-7.79"/>
        <n v="-11.36"/>
        <n v="-2.12"/>
        <n v="-2.18"/>
        <n v="-4.82"/>
        <n v="0.01"/>
        <n v="0.5"/>
        <n v="-9.53"/>
        <n v="8.27"/>
        <n v="9.45"/>
        <n v="8.72"/>
        <n v="7.54"/>
        <n v="9.53"/>
        <n v="8.0"/>
        <n v="8.58"/>
        <n v="8.54"/>
        <n v="-3.5"/>
        <n v="8.34"/>
        <n v="9.06"/>
        <n v="9.7"/>
        <n v="8.69"/>
        <n v="8.77"/>
        <n v="8.05"/>
        <n v="7.97"/>
        <n v="9.16"/>
        <n v="8.84"/>
        <n v="8.4"/>
        <n v="8.76"/>
        <n v="9.02"/>
        <n v="9.29"/>
        <n v="9.4"/>
        <n v="-0.92"/>
        <n v="9.08"/>
        <n v="9.64"/>
        <n v="6.7"/>
        <n v="-1.77"/>
        <n v="1.09"/>
        <n v="4.45"/>
        <n v="-1.01"/>
        <n v="3.11"/>
        <n v="2.25"/>
        <n v="0.49"/>
        <n v="-28.78"/>
        <n v="-7.65"/>
        <n v="-8.73"/>
        <n v="8.37"/>
        <n v="-6.65"/>
        <n v="-11.06"/>
        <n v="6.76"/>
        <n v="9.65"/>
        <n v="6.06"/>
        <n v="4.92"/>
        <n v="7.49"/>
        <n v="2.86"/>
        <n v="5.11"/>
        <n v="-11.42"/>
        <n v="7.92"/>
        <n v="8.57"/>
        <n v="7.9"/>
        <n v="7.01"/>
        <n v="6.79"/>
        <n v="1.71"/>
        <n v="6.23"/>
        <n v="7.68"/>
        <n v="3.49"/>
        <n v="2.54"/>
        <n v="3.96"/>
        <n v="6.35"/>
        <n v="-7.51"/>
        <n v="-10.68"/>
        <n v="-4.42"/>
        <n v="-8.33"/>
        <n v="-8.45"/>
        <n v="-7.7"/>
        <n v="-7.89"/>
        <n v="-6.41"/>
        <n v="-8.28"/>
        <n v="-8.94"/>
        <n v="-8.34"/>
        <n v="-7.37"/>
        <n v="-7.5"/>
        <n v="-8.12"/>
        <n v="-9.33"/>
        <n v="-5.14"/>
        <n v="-7.36"/>
        <n v="-8.6"/>
        <n v="-4.84"/>
        <n v="-9.97"/>
        <n v="-6.08"/>
        <n v="-5.63"/>
        <n v="-3.87"/>
        <n v="-1.75"/>
        <n v="0.04"/>
        <n v="-2.05"/>
        <n v="-1.47"/>
        <n v="-1.45"/>
        <n v="10.02"/>
        <n v="9.93"/>
        <n v="10.13"/>
        <n v="9.91"/>
        <n v="10.07"/>
        <n v="10.05"/>
        <n v="10.91"/>
        <n v="-68.81"/>
        <n v="9.97"/>
        <n v="9.35"/>
        <n v="6.13"/>
        <n v="9.89"/>
        <n v="9.92"/>
        <n v="-1.18"/>
        <n v="2.74"/>
        <n v="7.81"/>
        <n v="7.88"/>
        <n v="8.41"/>
        <n v="-1.83"/>
        <n v="-0.22"/>
        <n v="-2.2"/>
        <n v="0.51"/>
        <n v="-6.93"/>
        <n v="-6.86"/>
        <n v="0.45"/>
        <n v="-5.81"/>
        <n v="-0.21"/>
        <n v="0.55"/>
        <n v="-6.58"/>
        <n v="-6.64"/>
        <n v="-7.1"/>
        <n v="-7.53"/>
        <n v="-9.1"/>
        <n v="-9.49"/>
        <n v="0.21"/>
        <n v="-0.06"/>
        <n v="-5.11"/>
        <n v="-5.18"/>
        <n v="0.66"/>
        <n v="-0.9"/>
        <n v="-1.6"/>
        <n v="0.22"/>
        <n v="-2.43"/>
        <n v="-5.74"/>
        <n v="-2.24"/>
        <n v="-4.34"/>
        <n v="-0.52"/>
        <n v="0.43"/>
        <n v="0.52"/>
        <n v="0.53"/>
        <n v="-4.12"/>
        <n v="-0.97"/>
        <n v="-5.55"/>
        <n v="-3.07"/>
        <n v="-2.72"/>
        <n v="-2.98"/>
        <n v="-2.83"/>
        <n v="-2.85"/>
        <n v="-6.56"/>
        <n v="-5.85"/>
        <n v="-12.73"/>
        <n v="-6.79"/>
        <n v="-8.13"/>
        <n v="-8.22"/>
        <n v="-7.94"/>
        <n v="-7.74"/>
        <n v="7.93"/>
        <n v="8.56"/>
        <n v="-22.34"/>
        <n v="9.36"/>
        <n v="7.39"/>
        <n v="8.2"/>
        <n v="8.96"/>
        <n v="7.56"/>
        <n v="7.35"/>
        <n v="4.96"/>
        <n v="-15.31"/>
        <n v="-140.6"/>
        <n v="2.88"/>
        <n v="-4.06"/>
        <n v="-15.37"/>
        <n v="-3.99"/>
        <n v="-4.62"/>
        <n v="-16.91"/>
        <n v="-1.73"/>
        <n v="-11.24"/>
        <n v="-1.23"/>
        <n v="-11.01"/>
        <n v="-11.61"/>
        <n v="-6.63"/>
        <n v="-10.18"/>
        <n v="-11.02"/>
        <n v="-12.32"/>
        <n v="-11.29"/>
        <n v="-7.76"/>
        <n v="-11.99"/>
        <n v="-11.14"/>
        <n v="4.37"/>
        <n v="7.8"/>
        <n v="-3.32"/>
        <n v="7.6"/>
        <n v="9.07"/>
        <n v="4.24"/>
        <n v="5.91"/>
        <n v="6.68"/>
        <n v="9.05"/>
        <n v="4.83"/>
        <n v="7.41"/>
        <n v="9.17"/>
        <n v="7.2"/>
        <n v="6.57"/>
        <n v="-9.57"/>
        <n v="-0.58"/>
        <n v="-14.47"/>
        <n v="7.27"/>
        <n v="4.32"/>
        <n v="3.14"/>
        <n v="-9.61"/>
        <n v="10.28"/>
        <n v="2.16"/>
        <n v="6.93"/>
        <n v="9.44"/>
        <n v="8.97"/>
        <n v="-5.8"/>
        <n v="-9.45"/>
        <n v="-7.75"/>
        <n v="-7.54"/>
        <n v="-7.63"/>
        <n v="-7.66"/>
        <n v="-7.59"/>
        <n v="-8.53"/>
        <n v="-7.02"/>
        <n v="-7.42"/>
        <n v="-7.84"/>
        <n v="-9.69"/>
        <n v="-4.67"/>
        <n v="-5.86"/>
        <n v="-12.87"/>
        <n v="-8.11"/>
        <n v="-7.26"/>
        <n v="-6.07"/>
        <n v="-7.04"/>
        <n v="8.71"/>
        <n v="6.0"/>
        <n v="9.28"/>
        <n v="9.55"/>
        <n v="8.55"/>
        <n v="5.99"/>
        <n v="14.39"/>
        <n v="10.74"/>
        <n v="7.16"/>
        <n v="8.91"/>
        <n v="12.0"/>
        <n v="5.6"/>
        <n v="6.09"/>
        <n v="2.53"/>
        <n v="2.8"/>
        <n v="8.99"/>
        <n v="4.27"/>
        <n v="8.09"/>
        <n v="9.54"/>
        <n v="8.67"/>
        <n v="5.68"/>
        <n v="5.56"/>
        <n v="9.39"/>
        <n v="19.85"/>
        <n v="10.26"/>
        <n v="8.81"/>
        <n v="9.76"/>
        <n v="10.63"/>
        <n v="8.94"/>
        <n v="10.32"/>
        <n v="4.81"/>
        <s v="1 Day"/>
      </sharedItems>
    </cacheField>
    <cacheField name="30 Days">
      <sharedItems containsMixedTypes="1" containsNumber="1">
        <n v="9.93"/>
        <n v="8.83"/>
        <n v="6.79"/>
        <n v="7.92"/>
        <n v="9.89"/>
        <n v="8.32"/>
        <n v="9.2"/>
        <n v="9.75"/>
        <n v="8.1"/>
        <n v="9.31"/>
        <n v="8.69"/>
        <n v="9.49"/>
        <n v="9.23"/>
        <n v="10.22"/>
        <n v="10.07"/>
        <n v="9.96"/>
        <n v="9.09"/>
        <n v="8.43"/>
        <n v="8.4"/>
        <n v="7.59"/>
        <n v="8.47"/>
        <s v="N/A"/>
        <n v="10.66"/>
        <n v="9.82"/>
        <n v="8.94"/>
        <n v="9.45"/>
        <n v="10.51"/>
        <n v="-15.07"/>
        <n v="-7.34"/>
        <n v="6.13"/>
        <n v="3.03"/>
        <n v="10.44"/>
        <n v="3.61"/>
        <n v="-13.61"/>
        <n v="-68.91"/>
        <n v="-63.73"/>
        <n v="-215.68"/>
        <n v="-27.78"/>
        <n v="8.76"/>
        <n v="-117.24"/>
        <n v="-7.99"/>
        <n v="-34.6"/>
        <n v="4.93"/>
        <n v="-20.73"/>
        <n v="8.36"/>
        <n v="10.15"/>
        <n v="-45.95"/>
        <n v="11.13"/>
        <n v="-191.7"/>
        <n v="-27.41"/>
        <n v="10.69"/>
        <n v="7.85"/>
        <n v="-9.53"/>
        <n v="-100.08"/>
        <n v="5.73"/>
        <n v="-63.11"/>
        <n v="15.15"/>
        <n v="-60.44"/>
        <n v="1.83"/>
        <n v="5.77"/>
        <n v="9.86"/>
        <n v="-57.85"/>
        <n v="-1.31"/>
        <n v="10.18"/>
        <n v="4.42"/>
        <n v="10.73"/>
        <n v="2.08"/>
        <n v="12.05"/>
        <n v="-1.0"/>
        <n v="-1.12"/>
        <n v="-3.72"/>
        <n v="-0.97"/>
        <n v="-1.27"/>
        <n v="-0.67"/>
        <n v="-0.57"/>
        <n v="-0.9"/>
        <n v="-1.1"/>
        <n v="-0.87"/>
        <n v="-2.06"/>
        <n v="2.11"/>
        <n v="-2.03"/>
        <n v="-1.41"/>
        <n v="-2.08"/>
        <n v="-1.37"/>
        <n v="-1.05"/>
        <n v="-0.96"/>
        <n v="-3.88"/>
        <n v="-0.76"/>
        <n v="-1.11"/>
        <n v="-0.45"/>
        <n v="-1.3"/>
        <n v="-0.01"/>
        <n v="0.03"/>
        <n v="0.02"/>
        <n v="-0.04"/>
        <n v="-0.05"/>
        <n v="-0.47"/>
        <n v="0.04"/>
        <n v="8.72"/>
        <n v="8.91"/>
        <n v="13.76"/>
        <n v="13.8"/>
        <n v="13.72"/>
        <n v="-40.48"/>
        <n v="10.4"/>
        <n v="0.99"/>
        <n v="-2.85"/>
        <n v="7.08"/>
        <n v="-180.16"/>
        <n v="-18.07"/>
        <n v="-5.48"/>
        <n v="-10.91"/>
        <n v="5.8"/>
        <n v="-4.96"/>
        <n v="5.88"/>
        <n v="-4.09"/>
        <n v="13.18"/>
        <n v="10.29"/>
        <n v="31.65"/>
        <n v="10.84"/>
        <n v="9.56"/>
        <n v="6.83"/>
        <n v="5.69"/>
        <n v="9.53"/>
        <n v="18.51"/>
        <n v="11.72"/>
        <n v="-8.14"/>
        <n v="5.99"/>
        <n v="6.94"/>
        <n v="14.67"/>
        <n v="10.59"/>
        <n v="11.35"/>
        <n v="8.8"/>
        <n v="10.8"/>
        <n v="11.28"/>
        <n v="9.16"/>
        <n v="-23.98"/>
        <n v="8.54"/>
        <n v="10.11"/>
        <n v="4.75"/>
        <n v="-54.31"/>
        <n v="-0.82"/>
        <n v="-0.88"/>
        <n v="-0.28"/>
        <n v="-0.65"/>
        <n v="-0.58"/>
        <n v="-3.24"/>
        <n v="-1.24"/>
        <n v="-0.1"/>
        <n v="-1.01"/>
        <n v="-0.92"/>
        <n v="-0.63"/>
        <n v="-1.99"/>
        <n v="-0.27"/>
        <n v="-0.33"/>
        <n v="-1.15"/>
        <n v="-1.07"/>
        <n v="-0.31"/>
        <n v="-2.94"/>
        <n v="-1.04"/>
        <n v="-0.23"/>
        <n v="-0.19"/>
        <n v="-0.53"/>
        <n v="-0.77"/>
        <n v="9.78"/>
        <n v="7.56"/>
        <n v="9.38"/>
        <n v="1.72"/>
        <n v="0.44"/>
        <n v="7.01"/>
        <n v="9.27"/>
        <n v="8.65"/>
        <n v="10.48"/>
        <n v="11.17"/>
        <n v="9.64"/>
        <n v="7.74"/>
        <n v="9.71"/>
        <n v="17.37"/>
        <n v="7.12"/>
        <n v="9.42"/>
        <n v="9.13"/>
        <n v="6.17"/>
        <n v="13.98"/>
        <n v="-129.68"/>
        <n v="20.0"/>
        <n v="7.19"/>
        <n v="6.97"/>
        <n v="-19.49"/>
        <n v="-17.7"/>
        <n v="31.5"/>
        <n v="24.2"/>
        <n v="-19.93"/>
        <n v="-5.66"/>
        <n v="-36.76"/>
        <n v="12.56"/>
        <n v="26.46"/>
        <n v="42.34"/>
        <n v="41.79"/>
        <n v="8.98"/>
        <n v="11.24"/>
        <n v="6.68"/>
        <n v="15.77"/>
        <n v="3.25"/>
        <n v="5.15"/>
        <n v="-22.37"/>
        <n v="-2.7"/>
        <n v="3.72"/>
        <n v="13.36"/>
        <n v="-13.8"/>
        <n v="-43.69"/>
        <n v="-2.3"/>
        <n v="-3.35"/>
        <n v="-0.99"/>
        <n v="-0.62"/>
        <n v="-0.4"/>
        <n v="-0.98"/>
        <n v="-1.18"/>
        <n v="-0.73"/>
        <n v="-1.26"/>
        <n v="-0.48"/>
        <n v="-1.93"/>
        <n v="-1.84"/>
        <n v="-1.82"/>
        <n v="-1.36"/>
        <n v="-0.91"/>
        <n v="0.47"/>
        <n v="-0.12"/>
        <n v="-0.16"/>
        <n v="-0.09"/>
        <n v="10.04"/>
        <n v="-17.99"/>
        <n v="10.33"/>
        <n v="10.26"/>
        <n v="-934.25"/>
        <n v="0.58"/>
        <n v="-0.85"/>
        <n v="8.14"/>
        <n v="10.77"/>
        <n v="2.01"/>
        <n v="-0.02"/>
        <n v="0.01"/>
        <n v="-0.79"/>
        <n v="-0.03"/>
        <n v="-3.34"/>
        <n v="-2.0"/>
        <n v="-1.34"/>
        <n v="0.14"/>
        <n v="-2.8"/>
        <n v="-3.41"/>
        <n v="-0.64"/>
        <n v="-1.23"/>
        <n v="-0.51"/>
        <n v="-2.16"/>
        <n v="-1.5"/>
        <n v="2.58"/>
        <n v="2.75"/>
        <n v="2.62"/>
        <n v="2.61"/>
        <n v="2.6"/>
        <n v="-2.13"/>
        <n v="-1.08"/>
        <n v="-0.94"/>
        <n v="-0.86"/>
        <n v="-1.02"/>
        <n v="9.6"/>
        <n v="-36500.0"/>
        <n v="8.5"/>
        <n v="7.67"/>
        <n v="7.63"/>
        <n v="3.36"/>
        <n v="10.0"/>
        <n v="1.93"/>
        <n v="2.56"/>
        <n v="-154.69"/>
        <n v="-134.06"/>
        <n v="-18.69"/>
        <n v="-90.19"/>
        <n v="-177.39"/>
        <n v="-64.71"/>
        <n v="-43.0"/>
        <n v="-212.87"/>
        <n v="0.62"/>
        <n v="-3.45"/>
        <n v="-0.26"/>
        <n v="-0.83"/>
        <n v="-1.09"/>
        <n v="-0.7"/>
        <n v="17.78"/>
        <n v="5.04"/>
        <n v="6.5"/>
        <n v="3.5"/>
        <n v="13.87"/>
        <n v="29.2"/>
        <n v="-1.83"/>
        <n v="12.45"/>
        <n v="14.05"/>
        <n v="9.02"/>
        <n v="7.45"/>
        <n v="3.8"/>
        <n v="9.05"/>
        <n v="0.51"/>
        <n v="4.05"/>
        <n v="-22.56"/>
        <n v="-15.18"/>
        <n v="26.97"/>
        <n v="-12.56"/>
        <n v="7.15"/>
        <n v="-30.11"/>
        <n v="9.34"/>
        <n v="1.68"/>
        <n v="-0.72"/>
        <n v="-3.11"/>
        <n v="-0.89"/>
        <n v="-1.16"/>
        <n v="-1.06"/>
        <n v="-1.39"/>
        <n v="-3.16"/>
        <n v="6.72"/>
        <n v="2.99"/>
        <n v="2.12"/>
        <n v="8.58"/>
        <n v="16.53"/>
        <n v="11.1"/>
        <n v="1.06"/>
        <n v="-6.61"/>
        <n v="17.12"/>
        <n v="8.61"/>
        <n v="14.86"/>
        <n v="8.21"/>
        <n v="5.66"/>
        <n v="1.39"/>
        <n v="16.5"/>
        <n v="8.87"/>
        <n v="12.59"/>
        <n v="2.88"/>
        <s v="15 Days"/>
      </sharedItems>
    </cacheField>
    <cacheField name="90 Days">
      <sharedItems containsMixedTypes="1" containsNumber="1">
        <n v="9.51"/>
        <n v="8.6"/>
        <n v="8.77"/>
        <n v="8.67"/>
        <n v="8.62"/>
        <n v="9.91"/>
        <n v="8.88"/>
        <n v="9.77"/>
        <n v="9.12"/>
        <n v="9.32"/>
        <n v="8.61"/>
        <n v="8.08"/>
        <n v="8.87"/>
        <n v="10.04"/>
        <n v="9.27"/>
        <n v="8.91"/>
        <n v="8.7"/>
        <n v="8.8"/>
        <n v="8.37"/>
        <n v="8.96"/>
        <n v="9.41"/>
        <n v="7.52"/>
        <n v="9.45"/>
        <n v="9.89"/>
        <n v="7.67"/>
        <n v="9.0"/>
        <n v="8.95"/>
        <n v="5.69"/>
        <n v="6.07"/>
        <n v="6.08"/>
        <n v="6.56"/>
        <n v="11.17"/>
        <n v="10.74"/>
        <n v="10.34"/>
        <n v="8.47"/>
        <n v="10.4"/>
        <n v="5.01"/>
        <n v="-10.27"/>
        <n v="-4.07"/>
        <n v="-25.51"/>
        <n v="2.3"/>
        <n v="-12.63"/>
        <n v="8.54"/>
        <n v="5.73"/>
        <n v="2.42"/>
        <n v="4.66"/>
        <n v="-15.03"/>
        <n v="7.03"/>
        <n v="10.21"/>
        <n v="-2.74"/>
        <n v="6.38"/>
        <n v="-16.16"/>
        <n v="0.66"/>
        <n v="10.77"/>
        <n v="-1.89"/>
        <n v="2.51"/>
        <n v="-3.29"/>
        <n v="-8.75"/>
        <n v="8.26"/>
        <n v="-1.97"/>
        <n v="4.04"/>
        <n v="-5.41"/>
        <n v="7.39"/>
        <n v="8.11"/>
        <n v="9.79"/>
        <n v="8.98"/>
        <n v="-6.0"/>
        <n v="3.69"/>
        <n v="10.53"/>
        <n v="5.99"/>
        <n v="7.22"/>
        <n v="-5.4"/>
        <n v="-0.27"/>
        <n v="-1.99"/>
        <n v="-2.97"/>
        <n v="-3.04"/>
        <n v="-2.78"/>
        <n v="-2.79"/>
        <n v="-4.04"/>
        <n v="-1.4"/>
        <n v="-2.07"/>
        <n v="-1.84"/>
        <n v="-2.0"/>
        <n v="-2.73"/>
        <n v="0.15"/>
        <n v="-2.27"/>
        <n v="-2.7"/>
        <n v="-5.75"/>
        <n v="-2.64"/>
        <n v="-2.29"/>
        <n v="-2.5"/>
        <n v="-3.08"/>
        <n v="-3.86"/>
        <n v="-2.05"/>
        <n v="-1.91"/>
        <n v="-3.21"/>
        <n v="-1.75"/>
        <n v="0.42"/>
        <n v="0.41"/>
        <n v="0.35"/>
        <n v="0.37"/>
        <n v="0.26"/>
        <n v="0.33"/>
        <n v="-0.8"/>
        <n v="9.21"/>
        <n v="2.19"/>
        <n v="10.1"/>
        <n v="9.76"/>
        <n v="9.71"/>
        <n v="9.68"/>
        <n v="-6.71"/>
        <n v="4.77"/>
        <n v="6.88"/>
        <n v="5.35"/>
        <n v="8.97"/>
        <n v="-18.46"/>
        <n v="-0.32"/>
        <n v="5.77"/>
        <n v="5.18"/>
        <n v="7.74"/>
        <n v="-3.43"/>
        <n v="9.67"/>
        <n v="8.81"/>
        <n v="9.17"/>
        <n v="-3.63"/>
        <n v="1.5"/>
        <n v="5.42"/>
        <n v="5.59"/>
        <n v="-12.72"/>
        <n v="-10.45"/>
        <n v="-20.52"/>
        <n v="0.82"/>
        <n v="9.88"/>
        <n v="7.9"/>
        <s v="N/A"/>
        <n v="10.62"/>
        <n v="7.59"/>
        <n v="9.8"/>
        <n v="10.85"/>
        <n v="8.1"/>
        <n v="9.19"/>
        <n v="9.25"/>
        <n v="0.87"/>
        <n v="6.26"/>
        <n v="10.14"/>
        <n v="4.76"/>
        <n v="9.92"/>
        <n v="0.21"/>
        <n v="0.59"/>
        <n v="-1.8"/>
        <n v="-1.03"/>
        <n v="-2.13"/>
        <n v="-1.28"/>
        <n v="-2.93"/>
        <n v="0.12"/>
        <n v="-5.18"/>
        <n v="-2.3"/>
        <n v="-1.9"/>
        <n v="-0.48"/>
        <n v="-3.27"/>
        <n v="-1.11"/>
        <n v="-2.18"/>
        <n v="-1.58"/>
        <n v="-0.79"/>
        <n v="0.02"/>
        <n v="0.08"/>
        <n v="-1.76"/>
        <n v="-2.91"/>
        <n v="-0.45"/>
        <n v="-0.4"/>
        <n v="-1.42"/>
        <n v="-0.12"/>
        <n v="0.29"/>
        <n v="8.85"/>
        <n v="9.75"/>
        <n v="7.07"/>
        <n v="9.57"/>
        <n v="6.94"/>
        <n v="5.94"/>
        <n v="8.65"/>
        <n v="-12.87"/>
        <n v="9.16"/>
        <n v="8.69"/>
        <n v="8.15"/>
        <n v="9.24"/>
        <n v="9.73"/>
        <n v="9.4"/>
        <n v="8.76"/>
        <n v="8.53"/>
        <n v="9.46"/>
        <n v="9.31"/>
        <n v="-0.92"/>
        <n v="8.93"/>
        <n v="9.7"/>
        <n v="9.04"/>
        <n v="9.09"/>
        <n v="7.06"/>
        <n v="-8.87"/>
        <n v="2.03"/>
        <n v="3.31"/>
        <n v="-0.6"/>
        <n v="-0.03"/>
        <n v="-2.12"/>
        <n v="7.99"/>
        <n v="-9.63"/>
        <n v="-8.68"/>
        <n v="8.4"/>
        <n v="-8.79"/>
        <n v="-14.44"/>
        <n v="7.64"/>
        <n v="9.61"/>
        <n v="8.24"/>
        <n v="7.23"/>
        <n v="9.26"/>
        <n v="4.73"/>
        <n v="5.47"/>
        <n v="-21.75"/>
        <n v="7.34"/>
        <n v="8.18"/>
        <n v="8.16"/>
        <n v="6.53"/>
        <n v="6.99"/>
        <n v="2.83"/>
        <n v="5.98"/>
        <n v="8.57"/>
        <n v="9.03"/>
        <n v="9.99"/>
        <n v="1.87"/>
        <n v="2.87"/>
        <n v="6.84"/>
        <n v="8.55"/>
        <n v="-0.9"/>
        <n v="-0.14"/>
        <n v="-2.17"/>
        <n v="-0.35"/>
        <n v="-1.86"/>
        <n v="-0.59"/>
        <n v="-0.66"/>
        <n v="-0.22"/>
        <n v="-0.42"/>
        <n v="-0.94"/>
        <n v="-0.89"/>
        <n v="-0.99"/>
        <n v="-1.22"/>
        <n v="-0.7"/>
        <n v="-1.66"/>
        <n v="-1.63"/>
        <n v="-2.55"/>
        <n v="-0.83"/>
        <n v="-2.04"/>
        <n v="-2.36"/>
        <n v="-1.17"/>
        <n v="-0.62"/>
        <n v="-0.5"/>
        <n v="-1.56"/>
        <n v="0.04"/>
        <n v="-0.01"/>
        <n v="0.11"/>
        <n v="9.98"/>
        <n v="9.9"/>
        <n v="9.87"/>
        <n v="-0.31"/>
        <n v="10.23"/>
        <n v="10.36"/>
        <n v="10.33"/>
        <n v="10.83"/>
        <n v="-53.01"/>
        <n v="9.94"/>
        <n v="4.7"/>
        <n v="9.86"/>
        <n v="9.82"/>
        <n v="1.78"/>
        <n v="7.86"/>
        <n v="7.83"/>
        <n v="8.36"/>
        <n v="9.85"/>
        <n v="0.93"/>
        <n v="-0.11"/>
        <n v="0.3"/>
        <n v="0.34"/>
        <n v="-0.56"/>
        <n v="-1.25"/>
        <n v="-1.15"/>
        <n v="-1.33"/>
        <n v="-1.0"/>
        <n v="-1.74"/>
        <n v="0.01"/>
        <n v="0.28"/>
        <n v="-0.02"/>
        <n v="-0.72"/>
        <n v="-0.81"/>
        <n v="0.38"/>
        <n v="0.1"/>
        <n v="0.09"/>
        <n v="-0.54"/>
        <n v="-0.57"/>
        <n v="-0.06"/>
        <n v="-0.38"/>
        <n v="0.14"/>
        <n v="0.36"/>
        <n v="0.31"/>
        <n v="-0.77"/>
        <n v="-1.13"/>
        <n v="-0.44"/>
        <n v="0.89"/>
        <n v="0.88"/>
        <n v="0.86"/>
        <n v="0.84"/>
        <n v="-0.88"/>
        <n v="-2.14"/>
        <n v="-0.84"/>
        <n v="-0.58"/>
        <n v="-0.98"/>
        <n v="-1.04"/>
        <n v="-1.08"/>
        <n v="7.89"/>
        <n v="9.64"/>
        <n v="7.44"/>
        <n v="7.93"/>
        <n v="8.83"/>
        <n v="6.37"/>
        <n v="5.53"/>
        <n v="-14.74"/>
        <n v="-146.01"/>
        <n v="5.07"/>
        <n v="-13.69"/>
        <n v="-5.74"/>
        <n v="-19.44"/>
        <n v="1.6"/>
        <n v="-10.08"/>
        <n v="-1.94"/>
        <n v="-2.99"/>
        <n v="-2.98"/>
        <n v="-3.79"/>
        <n v="-1.57"/>
        <n v="-2.4"/>
        <n v="-3.18"/>
        <n v="-1.38"/>
        <n v="-1.98"/>
        <n v="-1.79"/>
        <n v="7.81"/>
        <n v="3.57"/>
        <n v="-1.19"/>
        <n v="-3.66"/>
        <n v="7.7"/>
        <n v="8.33"/>
        <n v="4.27"/>
        <n v="6.29"/>
        <n v="7.13"/>
        <n v="8.04"/>
        <n v="4.92"/>
        <n v="7.75"/>
        <n v="7.09"/>
        <n v="6.64"/>
        <n v="6.48"/>
        <n v="5.95"/>
        <n v="-17.1"/>
        <n v="3.65"/>
        <n v="-14.57"/>
        <n v="7.8"/>
        <n v="9.38"/>
        <n v="-22.59"/>
        <n v="4.33"/>
        <n v="4.13"/>
        <n v="-13.63"/>
        <n v="10.91"/>
        <n v="1.29"/>
        <n v="6.47"/>
        <n v="6.52"/>
        <n v="9.78"/>
        <n v="8.64"/>
        <n v="-2.1"/>
        <n v="-0.25"/>
        <n v="-2.02"/>
        <n v="-0.91"/>
        <n v="-0.87"/>
        <n v="-0.82"/>
        <n v="-1.55"/>
        <n v="-0.63"/>
        <n v="-1.21"/>
        <n v="-0.68"/>
        <n v="-2.16"/>
        <n v="-5.48"/>
        <n v="-2.23"/>
        <n v="-0.33"/>
        <n v="-0.21"/>
        <n v="5.25"/>
        <n v="-0.51"/>
        <n v="-1.87"/>
        <n v="10.46"/>
        <n v="9.29"/>
        <n v="9.23"/>
        <n v="9.28"/>
        <n v="7.61"/>
        <n v="8.63"/>
        <n v="9.35"/>
        <n v="9.81"/>
        <n v="10.75"/>
        <n v="10.7"/>
        <n v="8.49"/>
        <n v="14.7"/>
        <n v="6.74"/>
        <n v="3.19"/>
        <n v="0.58"/>
        <n v="3.8"/>
        <n v="4.94"/>
        <n v="8.0"/>
        <n v="9.53"/>
        <n v="8.48"/>
        <n v="5.67"/>
        <n v="5.55"/>
        <n v="10.26"/>
        <n v="10.29"/>
        <n v="9.52"/>
        <n v="8.84"/>
        <n v="2.59"/>
        <s v="30 Days"/>
      </sharedItems>
    </cacheField>
    <cacheField name="180 Days">
      <sharedItems containsMixedTypes="1" containsNumber="1">
        <n v="9.31"/>
        <n v="8.49"/>
        <n v="8.79"/>
        <n v="9.16"/>
        <n v="9.17"/>
        <n v="9.76"/>
        <n v="8.66"/>
        <n v="9.3"/>
        <n v="9.89"/>
        <n v="8.89"/>
        <n v="9.21"/>
        <n v="9.26"/>
        <n v="8.44"/>
        <n v="7.81"/>
        <n v="9.9"/>
        <n v="10.04"/>
        <n v="9.01"/>
        <n v="8.9"/>
        <n v="8.72"/>
        <n v="8.05"/>
        <n v="9.25"/>
        <n v="8.26"/>
        <n v="9.86"/>
        <n v="7.61"/>
        <n v="8.96"/>
        <n v="5.33"/>
        <n v="6.01"/>
        <n v="7.03"/>
        <n v="6.88"/>
        <n v="10.73"/>
        <n v="10.23"/>
        <n v="10.18"/>
        <n v="8.67"/>
        <n v="3.82"/>
        <n v="-10.39"/>
        <n v="-5.51"/>
        <n v="-23.77"/>
        <n v="-0.9"/>
        <n v="9.65"/>
        <n v="-10.73"/>
        <n v="8.68"/>
        <n v="4.56"/>
        <n v="-0.73"/>
        <n v="5.48"/>
        <n v="-6.5"/>
        <n v="7.07"/>
        <n v="-4.57"/>
        <n v="1.11"/>
        <n v="-13.3"/>
        <n v="1.0"/>
        <n v="10.69"/>
        <n v="-2.69"/>
        <n v="2.72"/>
        <n v="0.05"/>
        <n v="-8.31"/>
        <n v="8.59"/>
        <n v="-1.49"/>
        <n v="5.51"/>
        <n v="-4.62"/>
        <n v="6.9"/>
        <n v="8.42"/>
        <n v="9.81"/>
        <n v="8.91"/>
        <n v="-5.01"/>
        <n v="5.38"/>
        <n v="10.64"/>
        <n v="5.97"/>
        <n v="10.77"/>
        <n v="7.29"/>
        <n v="-6.91"/>
        <n v="2.73"/>
        <n v="-8.76"/>
        <n v="-9.87"/>
        <n v="-9.63"/>
        <n v="-10.04"/>
        <n v="-9.86"/>
        <n v="-12.47"/>
        <n v="-7.55"/>
        <n v="-9.71"/>
        <n v="-8.46"/>
        <n v="-7.89"/>
        <n v="-10.35"/>
        <n v="-2.9"/>
        <n v="-6.95"/>
        <n v="-4.97"/>
        <n v="-9.28"/>
        <n v="-5.07"/>
        <n v="-9.07"/>
        <n v="-9.66"/>
        <n v="-9.88"/>
        <n v="-10.8"/>
        <n v="-11.44"/>
        <n v="-9.0"/>
        <n v="-9.3"/>
        <n v="-9.65"/>
        <n v="-9.73"/>
        <n v="-12.92"/>
        <n v="-11.42"/>
        <n v="0.81"/>
        <n v="0.83"/>
        <n v="0.69"/>
        <n v="0.54"/>
        <n v="0.68"/>
        <n v="-1.53"/>
        <n v="0.71"/>
        <n v="10.25"/>
        <n v="1.2"/>
        <n v="9.57"/>
        <n v="9.52"/>
        <n v="9.49"/>
        <n v="-9.29"/>
        <n v="8.86"/>
        <n v="5.81"/>
        <n v="7.69"/>
        <s v="N/A"/>
        <n v="8.69"/>
        <n v="-18.75"/>
        <n v="3.08"/>
        <n v="5.16"/>
        <n v="3.91"/>
        <n v="7.57"/>
        <n v="1.95"/>
        <n v="9.47"/>
        <n v="10.39"/>
        <n v="-23.81"/>
        <n v="-4.87"/>
        <n v="8.87"/>
        <n v="-0.66"/>
        <n v="-81.94"/>
        <n v="-19.72"/>
        <n v="-17.87"/>
        <n v="4.47"/>
        <n v="7.73"/>
        <n v="9.05"/>
        <n v="7.31"/>
        <n v="1.75"/>
        <n v="8.25"/>
        <n v="7.42"/>
        <n v="11.16"/>
        <n v="6.58"/>
        <n v="9.96"/>
        <n v="10.9"/>
        <n v="7.23"/>
        <n v="9.18"/>
        <n v="9.22"/>
        <n v="2.8"/>
        <n v="3.86"/>
        <n v="9.98"/>
        <n v="-1.94"/>
        <n v="2.05"/>
        <n v="-6.66"/>
        <n v="-6.41"/>
        <n v="-7.13"/>
        <n v="-4.08"/>
        <n v="-8.87"/>
        <n v="-8.67"/>
        <n v="0.29"/>
        <n v="-11.95"/>
        <n v="-8.35"/>
        <n v="-3.3"/>
        <n v="-1.48"/>
        <n v="-5.33"/>
        <n v="-9.58"/>
        <n v="-6.94"/>
        <n v="-8.95"/>
        <n v="-4.12"/>
        <n v="-7.52"/>
        <n v="-8.91"/>
        <n v="-0.28"/>
        <n v="-9.52"/>
        <n v="-1.72"/>
        <n v="-1.75"/>
        <n v="-4.06"/>
        <n v="-0.62"/>
        <n v="0.57"/>
        <n v="-7.64"/>
        <n v="8.31"/>
        <n v="9.45"/>
        <n v="8.95"/>
        <n v="7.55"/>
        <n v="9.53"/>
        <n v="8.23"/>
        <n v="8.52"/>
        <n v="-2.81"/>
        <n v="9.15"/>
        <n v="8.37"/>
        <n v="9.11"/>
        <n v="9.69"/>
        <n v="8.12"/>
        <n v="8.08"/>
        <n v="9.74"/>
        <n v="9.19"/>
        <n v="8.85"/>
        <n v="8.81"/>
        <n v="9.71"/>
        <n v="8.99"/>
        <n v="9.34"/>
        <n v="9.72"/>
        <n v="9.42"/>
        <n v="-0.91"/>
        <n v="9.28"/>
        <n v="9.03"/>
        <n v="-1.1"/>
        <n v="1.65"/>
        <n v="3.7"/>
        <n v="3.04"/>
        <n v="1.28"/>
        <n v="-24.82"/>
        <n v="-6.61"/>
        <n v="-7.23"/>
        <n v="8.35"/>
        <n v="-5.29"/>
        <n v="-8.98"/>
        <n v="7.0"/>
        <n v="7.9"/>
        <n v="9.54"/>
        <n v="8.43"/>
        <n v="6.43"/>
        <n v="5.52"/>
        <n v="7.78"/>
        <n v="3.46"/>
        <n v="5.11"/>
        <n v="-10.06"/>
        <n v="7.98"/>
        <n v="8.64"/>
        <n v="7.85"/>
        <n v="7.02"/>
        <n v="7.38"/>
        <n v="6.97"/>
        <n v="2.2"/>
        <n v="6.44"/>
        <n v="7.75"/>
        <n v="9.02"/>
        <n v="3.53"/>
        <n v="3.31"/>
        <n v="4.53"/>
        <n v="6.78"/>
        <n v="-4.85"/>
        <n v="-4.43"/>
        <n v="-8.34"/>
        <n v="-7.44"/>
        <n v="-5.43"/>
        <n v="-5.34"/>
        <n v="-5.83"/>
        <n v="-3.48"/>
        <n v="-5.7"/>
        <n v="-6.59"/>
        <n v="-6.1"/>
        <n v="-4.41"/>
        <n v="-5.1"/>
        <n v="-5.76"/>
        <n v="-7.35"/>
        <n v="-2.86"/>
        <n v="-4.81"/>
        <n v="-2.74"/>
        <n v="-5.19"/>
        <n v="-2.31"/>
        <n v="-7.2"/>
        <n v="-3.69"/>
        <n v="-3.37"/>
        <n v="-3.95"/>
        <n v="-1.88"/>
        <n v="-1.34"/>
        <n v="-0.67"/>
        <n v="-0.71"/>
        <n v="10.02"/>
        <n v="9.94"/>
        <n v="10.14"/>
        <n v="9.92"/>
        <n v="10.24"/>
        <n v="10.28"/>
        <n v="10.6"/>
        <n v="-21.37"/>
        <n v="9.97"/>
        <n v="9.06"/>
        <n v="6.3"/>
        <n v="1.52"/>
        <n v="-0.85"/>
        <n v="2.93"/>
        <n v="7.82"/>
        <n v="7.91"/>
        <n v="8.41"/>
        <n v="-1.55"/>
        <n v="-0.22"/>
        <n v="-2.18"/>
        <n v="0.6"/>
        <n v="-4.95"/>
        <n v="0.51"/>
        <n v="-4.64"/>
        <n v="0.12"/>
        <n v="1.22"/>
        <n v="-5.86"/>
        <n v="-6.31"/>
        <n v="-5.06"/>
        <n v="-4.8"/>
        <n v="-6.48"/>
        <n v="-7.51"/>
        <n v="0.28"/>
        <n v="0.02"/>
        <n v="-2.67"/>
        <n v="-4.32"/>
        <n v="0.74"/>
        <n v="-5.78"/>
        <n v="-0.58"/>
        <n v="-1.33"/>
        <n v="0.3"/>
        <n v="-1.9"/>
        <n v="-3.82"/>
        <n v="-1.32"/>
        <n v="-2.82"/>
        <n v="-0.3"/>
        <n v="0.53"/>
        <n v="0.59"/>
        <n v="0.61"/>
        <n v="-0.72"/>
        <n v="-4.77"/>
        <n v="-2.59"/>
        <n v="0.7"/>
        <n v="-2.51"/>
        <n v="-2.79"/>
        <n v="-2.62"/>
        <n v="-2.65"/>
        <n v="-4.0"/>
        <n v="-5.15"/>
        <n v="-10.6"/>
        <n v="-4.34"/>
        <n v="-5.62"/>
        <n v="-5.47"/>
        <n v="8.02"/>
        <n v="8.6"/>
        <n v="-1216.67"/>
        <n v="9.41"/>
        <n v="7.48"/>
        <n v="8.97"/>
        <n v="7.77"/>
        <n v="8.47"/>
        <n v="7.93"/>
        <n v="5.46"/>
        <n v="-12.88"/>
        <n v="-139.12"/>
        <n v="3.52"/>
        <n v="-2.77"/>
        <n v="-13.02"/>
        <n v="-2.63"/>
        <n v="-3.05"/>
        <n v="-14.3"/>
        <n v="-10.17"/>
        <n v="2.58"/>
        <n v="-7.67"/>
        <n v="-10.01"/>
        <n v="-10.08"/>
        <n v="-7.31"/>
        <n v="-8.05"/>
        <n v="-9.14"/>
        <n v="-10.48"/>
        <n v="-8.61"/>
        <n v="-6.21"/>
        <n v="-9.64"/>
        <n v="-11.15"/>
        <n v="8.15"/>
        <n v="4.39"/>
        <n v="1.64"/>
        <n v="7.87"/>
        <n v="7.65"/>
        <n v="9.39"/>
        <n v="3.07"/>
        <n v="6.21"/>
        <n v="6.85"/>
        <n v="6.0"/>
        <n v="5.44"/>
        <n v="8.21"/>
        <n v="7.26"/>
        <n v="6.69"/>
        <n v="-7.6"/>
        <n v="-12.27"/>
        <n v="7.35"/>
        <n v="9.33"/>
        <n v="-13.14"/>
        <n v="4.7"/>
        <n v="3.61"/>
        <n v="-7.8"/>
        <n v="10.22"/>
        <n v="2.84"/>
        <n v="7.09"/>
        <n v="7.13"/>
        <n v="9.48"/>
        <n v="-5.11"/>
        <n v="-3.47"/>
        <n v="-8.6"/>
        <n v="-8.58"/>
        <n v="-5.55"/>
        <n v="-5.53"/>
        <n v="-5.09"/>
        <n v="-6.03"/>
        <n v="-5.46"/>
        <n v="-5.36"/>
        <n v="-6.08"/>
        <n v="-6.49"/>
        <n v="-4.44"/>
        <n v="-5.63"/>
        <n v="-7.0"/>
        <n v="-2.41"/>
        <n v="-3.56"/>
        <n v="-12.21"/>
        <n v="-12.87"/>
        <n v="-7.27"/>
        <n v="-8.28"/>
        <n v="4.73"/>
        <n v="10.05"/>
        <n v="8.61"/>
        <n v="6.98"/>
        <n v="8.11"/>
        <n v="9.56"/>
        <n v="8.56"/>
        <n v="26.92"/>
        <n v="10.75"/>
        <n v="7.28"/>
        <n v="9.93"/>
        <n v="8.93"/>
        <n v="11.9"/>
        <n v="5.66"/>
        <n v="6.13"/>
        <n v="2.94"/>
        <n v="3.34"/>
        <n v="4.75"/>
        <n v="8.1"/>
        <n v="5.69"/>
        <n v="5.56"/>
        <n v="10.3"/>
        <n v="22.55"/>
        <n v="9.07"/>
        <n v="8.82"/>
        <n v="10.54"/>
        <n v="10.2"/>
        <n v="5.24"/>
        <s v="90 Days"/>
      </sharedItems>
    </cacheField>
    <cacheField name="270 Days">
      <sharedItems containsMixedTypes="1" containsNumber="1">
        <n v="9.43"/>
        <n v="8.47"/>
        <n v="9.41"/>
        <n v="9.39"/>
        <n v="9.95"/>
        <n v="8.66"/>
        <n v="9.45"/>
        <n v="10.93"/>
        <n v="8.69"/>
        <n v="9.5"/>
        <n v="9.53"/>
        <n v="8.94"/>
        <n v="8.37"/>
        <n v="8.78"/>
        <n v="10.09"/>
        <n v="9.24"/>
        <n v="9.27"/>
        <n v="8.98"/>
        <n v="9.09"/>
        <n v="8.48"/>
        <n v="9.51"/>
        <n v="9.29"/>
        <n v="8.99"/>
        <n v="9.98"/>
        <n v="8.38"/>
        <n v="9.12"/>
        <n v="7.87"/>
        <n v="8.92"/>
        <n v="8.52"/>
        <n v="8.33"/>
        <n v="10.45"/>
        <n v="10.11"/>
        <n v="12.6"/>
        <n v="8.35"/>
        <n v="1.97"/>
        <n v="3.03"/>
        <n v="-3.24"/>
        <n v="4.24"/>
        <n v="10.21"/>
        <n v="2.15"/>
        <n v="8.58"/>
        <n v="7.41"/>
        <n v="5.43"/>
        <n v="6.28"/>
        <n v="2.61"/>
        <n v="8.21"/>
        <n v="10.83"/>
        <n v="4.97"/>
        <n v="6.51"/>
        <n v="-0.32"/>
        <n v="4.28"/>
        <n v="10.91"/>
        <n v="5.24"/>
        <n v="6.47"/>
        <n v="5.62"/>
        <n v="1.82"/>
        <n v="9.55"/>
        <n v="5.16"/>
        <n v="8.68"/>
        <n v="4.06"/>
        <n v="8.89"/>
        <n v="9.42"/>
        <n v="10.19"/>
        <n v="9.35"/>
        <n v="2.93"/>
        <n v="8.46"/>
        <n v="10.98"/>
        <n v="7.09"/>
        <n v="11.01"/>
        <n v="35.41"/>
        <n v="3.56"/>
        <n v="7.72"/>
        <n v="-13.2"/>
        <n v="-19.14"/>
        <n v="-10.98"/>
        <n v="-14.31"/>
        <n v="-14.87"/>
        <n v="-15.37"/>
        <s v="N/A"/>
        <n v="-13.32"/>
        <n v="-13.37"/>
        <n v="-19.31"/>
        <n v="-8.91"/>
        <n v="-19.49"/>
        <n v="-22.18"/>
        <n v="-18.58"/>
        <n v="-22.28"/>
        <n v="-16.55"/>
        <n v="-17.55"/>
        <n v="-16.38"/>
        <n v="-16.95"/>
        <n v="-14.53"/>
        <n v="-8.87"/>
        <n v="-18.04"/>
        <n v="-7.9"/>
        <n v="-15.06"/>
        <n v="-10.45"/>
        <n v="-14.28"/>
        <n v="2.33"/>
        <n v="2.49"/>
        <n v="2.18"/>
        <n v="2.46"/>
        <n v="2.02"/>
        <n v="2.4"/>
        <n v="-0.41"/>
        <n v="2.29"/>
        <n v="5.63"/>
        <n v="10.24"/>
        <n v="10.02"/>
        <n v="9.94"/>
        <n v="3.14"/>
        <n v="9.82"/>
        <n v="8.3"/>
        <n v="9.32"/>
        <n v="-3.64"/>
        <n v="8.34"/>
        <n v="7.93"/>
        <n v="7.37"/>
        <n v="8.97"/>
        <n v="7.4"/>
        <n v="10.05"/>
        <n v="9.85"/>
        <n v="10.57"/>
        <n v="-3.74"/>
        <n v="9.03"/>
        <n v="7.27"/>
        <n v="-0.7"/>
        <n v="-1.92"/>
        <n v="7.58"/>
        <n v="9.14"/>
        <n v="9.8"/>
        <n v="11.45"/>
        <n v="10.86"/>
        <n v="10.49"/>
        <n v="8.64"/>
        <n v="10.08"/>
        <n v="10.71"/>
        <n v="8.96"/>
        <n v="9.05"/>
        <n v="8.8"/>
        <n v="8.07"/>
        <n v="10.28"/>
        <n v="5.41"/>
        <n v="10.26"/>
        <n v="38.59"/>
        <n v="7.38"/>
        <n v="-11.81"/>
        <n v="-9.65"/>
        <n v="-7.89"/>
        <n v="-10.27"/>
        <n v="-5.58"/>
        <n v="-11.27"/>
        <n v="-10.13"/>
        <n v="2.28"/>
        <n v="-12.76"/>
        <n v="-11.0"/>
        <n v="-7.12"/>
        <n v="1.05"/>
        <n v="-3.56"/>
        <n v="-9.16"/>
        <n v="-5.14"/>
        <n v="-13.7"/>
        <n v="-7.52"/>
        <n v="-16.31"/>
        <n v="-10.88"/>
        <n v="0.68"/>
        <n v="-9.88"/>
        <n v="-13.87"/>
        <n v="-0.74"/>
        <n v="-1.45"/>
        <n v="-4.58"/>
        <n v="-6.1"/>
        <n v="-11.69"/>
        <n v="9.25"/>
        <n v="9.6"/>
        <n v="8.82"/>
        <n v="9.77"/>
        <n v="9.02"/>
        <n v="9.18"/>
        <n v="4.62"/>
        <n v="8.73"/>
        <n v="9.3"/>
        <n v="9.71"/>
        <n v="9.81"/>
        <n v="8.71"/>
        <n v="8.84"/>
        <n v="8.79"/>
        <n v="9.13"/>
        <n v="9.34"/>
        <n v="9.21"/>
        <n v="9.04"/>
        <n v="9.65"/>
        <n v="9.9"/>
        <n v="8.29"/>
        <n v="5.5"/>
        <n v="7.57"/>
        <n v="7.23"/>
        <n v="6.84"/>
        <n v="7.47"/>
        <n v="7.08"/>
        <n v="6.22"/>
        <n v="-9.55"/>
        <n v="4.05"/>
        <n v="3.51"/>
        <n v="8.56"/>
        <n v="3.6"/>
        <n v="3.65"/>
        <n v="8.4"/>
        <n v="7.17"/>
        <n v="7.04"/>
        <n v="7.36"/>
        <n v="8.61"/>
        <n v="0.32"/>
        <n v="9.38"/>
        <n v="8.51"/>
        <n v="8.53"/>
        <n v="9.17"/>
        <n v="7.79"/>
        <n v="7.34"/>
        <n v="5.23"/>
        <n v="7.49"/>
        <n v="8.5"/>
        <n v="5.46"/>
        <n v="8.57"/>
        <n v="7.99"/>
        <n v="-11.72"/>
        <n v="-12.99"/>
        <n v="-8.53"/>
        <n v="-12.84"/>
        <n v="-11.82"/>
        <n v="-14.47"/>
        <n v="-13.08"/>
        <n v="-9.87"/>
        <n v="-5.2"/>
        <n v="-12.93"/>
        <n v="-13.43"/>
        <n v="-13.25"/>
        <n v="-6.49"/>
        <n v="-13.31"/>
        <n v="-14.99"/>
        <n v="-16.63"/>
        <n v="-12.37"/>
        <n v="-12.8"/>
        <n v="-6.44"/>
        <n v="-14.23"/>
        <n v="-10.17"/>
        <n v="-10.02"/>
        <n v="-3.85"/>
        <n v="-3.41"/>
        <n v="-2.43"/>
        <n v="-0.98"/>
        <n v="10.41"/>
        <n v="10.61"/>
        <n v="-0.18"/>
        <n v="-1.64"/>
        <n v="8.13"/>
        <n v="6.27"/>
        <n v="8.39"/>
        <n v="8.77"/>
        <n v="10.14"/>
        <n v="-4.74"/>
        <n v="0.25"/>
        <n v="-3.05"/>
        <n v="2.25"/>
        <n v="-9.62"/>
        <n v="-11.01"/>
        <n v="2.32"/>
        <n v="-8.54"/>
        <n v="0.5"/>
        <n v="2.63"/>
        <n v="-11.79"/>
        <n v="-9.52"/>
        <n v="-13.53"/>
        <n v="-8.58"/>
        <n v="-12.55"/>
        <n v="-16.25"/>
        <n v="1.95"/>
        <n v="-7.77"/>
        <n v="-9.59"/>
        <n v="2.23"/>
        <n v="-10.14"/>
        <n v="-0.15"/>
        <n v="-1.18"/>
        <n v="1.73"/>
        <n v="-1.63"/>
        <n v="-8.93"/>
        <n v="-2.78"/>
        <n v="-6.5"/>
        <n v="1.39"/>
        <n v="2.17"/>
        <n v="1.89"/>
        <n v="1.93"/>
        <n v="-9.26"/>
        <n v="-1.98"/>
        <n v="-12.05"/>
        <n v="-5.99"/>
        <n v="2.06"/>
        <n v="-8.31"/>
        <n v="-8.86"/>
        <n v="-8.63"/>
        <n v="-8.61"/>
        <n v="-8.64"/>
        <n v="-10.61"/>
        <n v="-14.52"/>
        <n v="-11.63"/>
        <n v="-12.23"/>
        <n v="-12.9"/>
        <n v="-11.7"/>
        <n v="-15.23"/>
        <n v="9.37"/>
        <n v="-405.56"/>
        <n v="9.62"/>
        <n v="8.54"/>
        <n v="8.55"/>
        <n v="8.7"/>
        <n v="9.19"/>
        <n v="8.41"/>
        <n v="0.45"/>
        <n v="-146.19"/>
        <n v="7.11"/>
        <n v="5.03"/>
        <n v="5.09"/>
        <n v="5.48"/>
        <n v="0.62"/>
        <n v="5.59"/>
        <n v="1.27"/>
        <n v="18.94"/>
        <n v="-12.94"/>
        <n v="-12.29"/>
        <n v="-15.08"/>
        <n v="-16.61"/>
        <n v="-12.69"/>
        <n v="-17.1"/>
        <n v="-17.07"/>
        <n v="-13.71"/>
        <n v="-10.44"/>
        <n v="-9.22"/>
        <n v="-13.76"/>
        <n v="7.0"/>
        <n v="6.2"/>
        <n v="5.94"/>
        <n v="8.86"/>
        <n v="10.6"/>
        <n v="4.42"/>
        <n v="8.12"/>
        <n v="9.74"/>
        <n v="7.29"/>
        <n v="8.75"/>
        <n v="8.05"/>
        <n v="4.4"/>
        <n v="6.55"/>
        <n v="3.09"/>
        <n v="8.76"/>
        <n v="12.93"/>
        <n v="-2.26"/>
        <n v="7.15"/>
        <n v="7.91"/>
        <n v="2.76"/>
        <n v="10.03"/>
        <n v="7.7"/>
        <n v="8.19"/>
        <n v="9.57"/>
        <n v="11.52"/>
        <n v="5.78"/>
        <n v="6.41"/>
        <n v="-10.79"/>
        <n v="-13.24"/>
        <n v="-9.7"/>
        <n v="-12.57"/>
        <n v="-17.23"/>
        <n v="-11.41"/>
        <n v="-14.11"/>
        <n v="-15.22"/>
        <n v="-12.52"/>
        <n v="-11.89"/>
        <n v="-14.65"/>
        <n v="-13.67"/>
        <n v="-9.24"/>
        <n v="-9.72"/>
        <n v="-21.27"/>
        <n v="-18.29"/>
        <n v="-9.9"/>
        <n v="7.45"/>
        <n v="-10.69"/>
        <n v="-10.67"/>
        <n v="10.33"/>
        <n v="8.88"/>
        <n v="9.16"/>
        <n v="9.31"/>
        <n v="8.87"/>
        <n v="9.44"/>
        <n v="9.58"/>
        <n v="10.75"/>
        <n v="10.17"/>
        <n v="10.04"/>
        <n v="8.17"/>
        <n v="7.1"/>
        <n v="9.69"/>
        <n v="11.18"/>
        <n v="6.99"/>
        <n v="9.68"/>
        <n v="9.2"/>
        <n v="5.7"/>
        <n v="5.51"/>
        <n v="9.1"/>
        <n v="10.35"/>
        <n v="9.07"/>
        <n v="10.73"/>
        <n v="6.05"/>
        <s v="180 Days"/>
      </sharedItems>
    </cacheField>
    <cacheField name="365 Days">
      <sharedItems containsMixedTypes="1" containsNumber="1">
        <n v="9.93"/>
        <n v="9.27"/>
        <n v="10.06"/>
        <n v="9.95"/>
        <n v="9.94"/>
        <n v="10.02"/>
        <n v="9.12"/>
        <n v="9.85"/>
        <n v="10.07"/>
        <n v="8.77"/>
        <n v="10.17"/>
        <n v="10.18"/>
        <n v="9.6"/>
        <n v="9.03"/>
        <n v="9.69"/>
        <n v="9.78"/>
        <n v="9.73"/>
        <n v="9.45"/>
        <n v="9.63"/>
        <n v="9.24"/>
        <n v="9.77"/>
        <n v="10.16"/>
        <n v="9.41"/>
        <n v="10.32"/>
        <n v="9.31"/>
        <n v="9.65"/>
        <n v="9.21"/>
        <n v="9.32"/>
        <n v="10.97"/>
        <n v="10.67"/>
        <n v="10.66"/>
        <n v="10.05"/>
        <n v="11.86"/>
        <n v="9.91"/>
        <n v="6.67"/>
        <n v="7.82"/>
        <n v="5.61"/>
        <n v="7.43"/>
        <n v="10.87"/>
        <n v="8.07"/>
        <n v="8.97"/>
        <n v="9.34"/>
        <n v="8.67"/>
        <n v="6.74"/>
        <n v="6.17"/>
        <n v="11.1"/>
        <n v="9.61"/>
        <n v="5.59"/>
        <n v="6.33"/>
        <n v="11.28"/>
        <n v="8.95"/>
        <n v="8.19"/>
        <n v="8.32"/>
        <n v="6.77"/>
        <n v="10.26"/>
        <n v="8.7"/>
        <n v="10.36"/>
        <n v="8.3"/>
        <n v="9.98"/>
        <n v="10.12"/>
        <n v="10.56"/>
        <n v="9.87"/>
        <n v="6.6"/>
        <n v="9.54"/>
        <n v="10.96"/>
        <n v="7.37"/>
        <n v="11.11"/>
        <n v="22.94"/>
        <n v="8.61"/>
        <n v="10.03"/>
        <n v="-7.52"/>
        <n v="-16.39"/>
        <n v="-5.94"/>
        <n v="-5.9"/>
        <n v="-6.9"/>
        <n v="-8.27"/>
        <s v="N/A"/>
        <n v="-8.54"/>
        <n v="-9.91"/>
        <n v="-19.97"/>
        <n v="-8.23"/>
        <n v="-16.89"/>
        <n v="-20.78"/>
        <n v="-12.77"/>
        <n v="-20.53"/>
        <n v="-11.01"/>
        <n v="-13.77"/>
        <n v="-11.46"/>
        <n v="-12.09"/>
        <n v="-10.46"/>
        <n v="-1.45"/>
        <n v="-17.16"/>
        <n v="2.78"/>
        <n v="-9.06"/>
        <n v="-4.25"/>
        <n v="-11.1"/>
        <n v="4.99"/>
        <n v="5.16"/>
        <n v="4.65"/>
        <n v="5.33"/>
        <n v="4.63"/>
        <n v="5.42"/>
        <n v="3.02"/>
        <n v="5.02"/>
        <n v="9.16"/>
        <n v="10.76"/>
        <n v="9.48"/>
        <n v="10.38"/>
        <n v="4.4"/>
        <n v="9.11"/>
        <n v="9.81"/>
        <n v="10.1"/>
        <n v="0.5"/>
        <n v="9.64"/>
        <n v="9.1"/>
        <n v="9.67"/>
        <n v="10.29"/>
        <n v="10.74"/>
        <n v="10.5"/>
        <n v="4.37"/>
        <n v="9.49"/>
        <n v="9.44"/>
        <n v="10.43"/>
        <n v="8.39"/>
        <n v="10.21"/>
        <n v="5.82"/>
        <n v="10.59"/>
        <n v="24.77"/>
        <n v="9.33"/>
        <n v="-8.45"/>
        <n v="-3.42"/>
        <n v="-1.65"/>
        <n v="-5.14"/>
        <n v="-2.05"/>
        <n v="-6.78"/>
        <n v="-7.19"/>
        <n v="5.53"/>
        <n v="-8.64"/>
        <n v="-4.91"/>
        <n v="-3.71"/>
        <n v="2.98"/>
        <n v="4.38"/>
        <n v="-3.82"/>
        <n v="5.01"/>
        <n v="-6.79"/>
        <n v="-2.75"/>
        <n v="-14.33"/>
        <n v="-7.11"/>
        <n v="3.63"/>
        <n v="-4.83"/>
        <n v="-7.64"/>
        <n v="2.47"/>
        <n v="2.93"/>
        <n v="-0.49"/>
        <n v="2.27"/>
        <n v="5.24"/>
        <n v="-6.34"/>
        <n v="9.7"/>
        <n v="9.88"/>
        <n v="9.89"/>
        <n v="9.46"/>
        <n v="6.8"/>
        <n v="9.17"/>
        <n v="10.22"/>
        <n v="10.13"/>
        <n v="8.86"/>
        <n v="8.91"/>
        <n v="9.43"/>
        <n v="9.04"/>
        <n v="10.11"/>
        <n v="9.8"/>
        <n v="9.68"/>
        <n v="9.28"/>
        <n v="9.19"/>
        <n v="10.15"/>
        <n v="9.9"/>
        <n v="4.02"/>
        <n v="8.29"/>
        <n v="8.68"/>
        <n v="7.83"/>
        <n v="7.64"/>
        <n v="8.58"/>
        <n v="8.37"/>
        <n v="7.47"/>
        <n v="-0.03"/>
        <n v="6.35"/>
        <n v="7.12"/>
        <n v="8.89"/>
        <n v="6.09"/>
        <n v="6.57"/>
        <n v="9.09"/>
        <n v="9.52"/>
        <n v="10.14"/>
        <n v="7.88"/>
        <n v="5.81"/>
        <n v="6.45"/>
        <n v="8.2"/>
        <n v="9.15"/>
        <n v="5.37"/>
        <n v="9.99"/>
        <n v="9.06"/>
        <n v="9.51"/>
        <n v="8.02"/>
        <n v="8.73"/>
        <n v="8.18"/>
        <n v="8.23"/>
        <n v="9.02"/>
        <n v="9.53"/>
        <n v="5.52"/>
        <n v="8.55"/>
        <n v="9.42"/>
        <n v="9.57"/>
        <n v="-11.67"/>
        <n v="-16.17"/>
        <n v="-8.8"/>
        <n v="-11.07"/>
        <n v="-13.54"/>
        <n v="-13.22"/>
        <n v="-11.06"/>
        <n v="-7.71"/>
        <n v="2.84"/>
        <n v="-12.59"/>
        <n v="-12.69"/>
        <n v="-11.52"/>
        <n v="-3.54"/>
        <n v="-10.65"/>
        <n v="-12.74"/>
        <n v="-16.77"/>
        <n v="-10.12"/>
        <n v="-13.62"/>
        <n v="-10.94"/>
        <n v="-6.69"/>
        <n v="-9.38"/>
        <n v="-9.49"/>
        <n v="-9.16"/>
        <n v="-0.67"/>
        <n v="0.45"/>
        <n v="9.05"/>
        <n v="10.85"/>
        <n v="0.02"/>
        <n v="8.49"/>
        <n v="8.22"/>
        <n v="8.52"/>
        <n v="-3.45"/>
        <n v="1.86"/>
        <n v="-1.03"/>
        <n v="-5.93"/>
        <n v="-10.13"/>
        <n v="4.86"/>
        <n v="-7.13"/>
        <n v="3.46"/>
        <n v="-7.85"/>
        <n v="-11.96"/>
        <n v="-4.64"/>
        <n v="-7.3"/>
        <n v="-14.76"/>
        <n v="4.57"/>
        <n v="4.26"/>
        <n v="-8.56"/>
        <n v="-8.99"/>
        <n v="-7.86"/>
        <n v="1.27"/>
        <n v="0.57"/>
        <n v="3.74"/>
        <n v="0.52"/>
        <n v="-7.53"/>
        <n v="-1.37"/>
        <n v="-5.62"/>
        <n v="4.46"/>
        <n v="4.64"/>
        <n v="4.73"/>
        <n v="4.11"/>
        <n v="4.17"/>
        <n v="-7.07"/>
        <n v="0.12"/>
        <n v="-10.63"/>
        <n v="-3.96"/>
        <n v="4.31"/>
        <n v="-7.6"/>
        <n v="-8.44"/>
        <n v="-7.93"/>
        <n v="-8.0"/>
        <n v="-8.24"/>
        <n v="-9.48"/>
        <n v="22.83"/>
        <n v="-7.8"/>
        <n v="-11.32"/>
        <n v="-10.25"/>
        <n v="-12.32"/>
        <n v="-10.11"/>
        <n v="-13.84"/>
        <n v="9.72"/>
        <n v="10.37"/>
        <n v="-202.78"/>
        <n v="10.23"/>
        <n v="9.0"/>
        <n v="9.86"/>
        <n v="9.75"/>
        <n v="-70.05"/>
        <n v="8.36"/>
        <n v="6.27"/>
        <n v="8.98"/>
        <n v="6.39"/>
        <n v="17.69"/>
        <n v="36.8"/>
        <n v="-6.92"/>
        <n v="-6.73"/>
        <n v="-21.27"/>
        <n v="-6.84"/>
        <n v="-12.3"/>
        <n v="-12.55"/>
        <n v="-8.29"/>
        <n v="-5.66"/>
        <n v="-2.07"/>
        <n v="-9.25"/>
        <n v="9.07"/>
        <n v="7.42"/>
        <n v="8.8"/>
        <n v="8.99"/>
        <n v="10.7"/>
        <n v="10.0"/>
        <n v="8.63"/>
        <n v="6.82"/>
        <n v="6.76"/>
        <n v="5.64"/>
        <n v="9.58"/>
        <n v="12.26"/>
        <n v="7.58"/>
        <n v="5.72"/>
        <n v="9.66"/>
        <n v="9.26"/>
        <n v="10.45"/>
        <n v="9.18"/>
        <n v="22.53"/>
        <n v="-9.61"/>
        <n v="-11.13"/>
        <n v="-14.54"/>
        <n v="-9.17"/>
        <n v="-6.93"/>
        <n v="-10.52"/>
        <n v="-11.93"/>
        <n v="-9.44"/>
        <n v="-9.71"/>
        <n v="-15.44"/>
        <n v="-10.58"/>
        <n v="-13.49"/>
        <n v="-9.35"/>
        <n v="-7.97"/>
        <n v="-8.6"/>
        <n v="-23.88"/>
        <n v="-13.67"/>
        <n v="-4.03"/>
        <n v="-4.48"/>
        <n v="-11.36"/>
        <n v="10.64"/>
        <n v="9.97"/>
        <n v="8.83"/>
        <n v="10.86"/>
        <n v="8.43"/>
        <n v="7.87"/>
        <n v="8.28"/>
        <n v="10.47"/>
        <n v="10.41"/>
        <n v="8.25"/>
        <s v="270 Days"/>
      </sharedItems>
    </cacheField>
    <cacheField name="2 Years">
      <sharedItems containsMixedTypes="1" containsNumber="1">
        <n v="10.04"/>
        <n v="9.46"/>
        <n v="10.01"/>
        <n v="10.16"/>
        <n v="10.11"/>
        <n v="9.95"/>
        <n v="9.41"/>
        <n v="9.97"/>
        <n v="10.15"/>
        <n v="9.1"/>
        <n v="10.31"/>
        <n v="10.4"/>
        <n v="9.74"/>
        <n v="9.33"/>
        <n v="10.0"/>
        <n v="10.54"/>
        <n v="9.91"/>
        <n v="9.87"/>
        <n v="9.62"/>
        <n v="9.78"/>
        <n v="9.5"/>
        <n v="9.92"/>
        <n v="10.28"/>
        <n v="9.64"/>
        <s v="N/A"/>
        <n v="9.67"/>
        <n v="9.88"/>
        <n v="10.24"/>
        <n v="9.56"/>
        <n v="9.7"/>
        <n v="10.83"/>
        <n v="10.84"/>
        <n v="10.21"/>
        <n v="13.04"/>
        <n v="9.75"/>
        <n v="7.59"/>
        <n v="8.11"/>
        <n v="6.55"/>
        <n v="7.81"/>
        <n v="11.24"/>
        <n v="8.8"/>
        <n v="9.14"/>
        <n v="9.18"/>
        <n v="7.06"/>
        <n v="7.4"/>
        <n v="9.72"/>
        <n v="11.54"/>
        <n v="9.69"/>
        <n v="9.25"/>
        <n v="6.75"/>
        <n v="7.86"/>
        <n v="11.4"/>
        <n v="8.76"/>
        <n v="9.07"/>
        <n v="7.76"/>
        <n v="8.97"/>
        <n v="14.18"/>
        <n v="10.08"/>
        <n v="10.61"/>
        <n v="13.87"/>
        <n v="7.7"/>
        <n v="7.73"/>
        <n v="10.91"/>
        <n v="19.32"/>
        <n v="10.47"/>
        <n v="19.02"/>
        <n v="10.3"/>
        <n v="22.44"/>
        <n v="20.71"/>
        <n v="18.46"/>
        <n v="8.02"/>
        <n v="17.11"/>
        <n v="14.8"/>
        <n v="5.72"/>
        <n v="14.47"/>
        <n v="6.52"/>
        <n v="-6.39"/>
        <n v="11.87"/>
        <n v="-6.02"/>
        <n v="12.67"/>
        <n v="11.98"/>
        <n v="19.73"/>
        <n v="17.77"/>
        <n v="17.47"/>
        <n v="27.37"/>
        <n v="1.07"/>
        <n v="45.12"/>
        <n v="19.27"/>
        <n v="22.52"/>
        <n v="12.17"/>
        <n v="7.58"/>
        <n v="8.16"/>
        <n v="7.12"/>
        <n v="8.17"/>
        <n v="7.05"/>
        <n v="7.55"/>
        <n v="5.16"/>
        <n v="7.24"/>
        <n v="9.22"/>
        <n v="10.66"/>
        <n v="9.68"/>
        <n v="5.84"/>
        <n v="2.32"/>
        <n v="8.96"/>
        <n v="9.79"/>
        <n v="9.54"/>
        <n v="10.68"/>
        <n v="11.48"/>
        <n v="10.75"/>
        <n v="6.66"/>
        <n v="9.81"/>
        <n v="16.86"/>
        <n v="19.12"/>
        <n v="10.18"/>
        <n v="6.16"/>
        <n v="12.01"/>
        <n v="20.1"/>
        <n v="6.99"/>
        <n v="17.15"/>
        <n v="20.13"/>
        <n v="21.41"/>
        <n v="14.11"/>
        <n v="8.56"/>
        <n v="-6.97"/>
        <n v="16.08"/>
        <n v="19.54"/>
        <n v="4.27"/>
        <n v="17.23"/>
        <n v="20.33"/>
        <n v="34.46"/>
        <n v="20.01"/>
        <n v="13.89"/>
        <n v="1.24"/>
        <n v="13.3"/>
        <n v="8.7"/>
        <n v="15.72"/>
        <n v="14.32"/>
        <n v="9.61"/>
        <n v="21.86"/>
        <n v="7.95"/>
        <n v="20.19"/>
        <n v="9.03"/>
        <n v="9.73"/>
        <n v="9.76"/>
        <n v="9.9"/>
        <n v="7.66"/>
        <n v="10.02"/>
        <n v="9.51"/>
        <n v="10.25"/>
        <n v="9.05"/>
        <n v="9.06"/>
        <n v="9.85"/>
        <n v="10.14"/>
        <n v="9.38"/>
        <n v="9.29"/>
        <n v="10.27"/>
        <n v="4.79"/>
        <n v="9.94"/>
        <n v="10.22"/>
        <n v="10.06"/>
        <n v="9.36"/>
        <n v="8.67"/>
        <n v="8.33"/>
        <n v="8.18"/>
        <n v="9.16"/>
        <n v="9.13"/>
        <n v="8.39"/>
        <n v="3.08"/>
        <n v="7.45"/>
        <n v="8.24"/>
        <n v="7.63"/>
        <n v="7.75"/>
        <n v="9.55"/>
        <n v="9.86"/>
        <n v="10.32"/>
        <n v="7.01"/>
        <n v="6.81"/>
        <n v="8.98"/>
        <n v="6.47"/>
        <n v="10.26"/>
        <n v="9.12"/>
        <n v="9.71"/>
        <n v="8.91"/>
        <n v="8.12"/>
        <n v="8.27"/>
        <n v="7.5"/>
        <n v="8.36"/>
        <n v="5.81"/>
        <n v="9.77"/>
        <n v="9.02"/>
        <n v="9.6"/>
        <n v="11.55"/>
        <n v="6.57"/>
        <n v="14.25"/>
        <n v="13.64"/>
        <n v="10.58"/>
        <n v="9.93"/>
        <n v="10.42"/>
        <n v="13.7"/>
        <n v="26.22"/>
        <n v="11.91"/>
        <n v="11.35"/>
        <n v="12.75"/>
        <n v="20.23"/>
        <n v="12.8"/>
        <n v="7.36"/>
        <n v="5.64"/>
        <n v="12.9"/>
        <n v="13.2"/>
        <n v="15.51"/>
        <n v="15.47"/>
        <n v="12.91"/>
        <n v="11.21"/>
        <n v="9.43"/>
        <n v="11.12"/>
        <n v="9.24"/>
        <n v="26.35"/>
        <n v="8.57"/>
        <n v="9.37"/>
        <n v="11.29"/>
        <n v="1.94"/>
        <n v="10.69"/>
        <n v="7.3"/>
        <n v="13.26"/>
        <n v="10.67"/>
        <n v="0.33"/>
        <n v="8.49"/>
        <n v="18.49"/>
        <n v="15.48"/>
        <n v="0.66"/>
        <n v="7.65"/>
        <n v="7.25"/>
        <n v="11.43"/>
        <n v="12.57"/>
        <n v="6.89"/>
        <n v="1.88"/>
        <n v="7.19"/>
        <n v="10.39"/>
        <n v="4.86"/>
        <n v="7.56"/>
        <n v="13.98"/>
        <n v="11.27"/>
        <n v="12.92"/>
        <n v="7.43"/>
        <n v="6.44"/>
        <n v="13.58"/>
        <n v="8.63"/>
        <n v="8.2"/>
        <n v="10.89"/>
        <n v="6.58"/>
        <n v="10.8"/>
        <n v="11.05"/>
        <n v="11.01"/>
        <n v="18.41"/>
        <n v="36.73"/>
        <n v="15.86"/>
        <n v="13.22"/>
        <n v="10.12"/>
        <n v="12.23"/>
        <n v="7.09"/>
        <n v="8.28"/>
        <n v="10.46"/>
        <n v="9.48"/>
        <n v="-135.19"/>
        <n v="10.44"/>
        <n v="-46.87"/>
        <n v="8.62"/>
        <n v="7.14"/>
        <n v="9.08"/>
        <n v="9.3"/>
        <n v="9.4"/>
        <n v="32.49"/>
        <n v="44.72"/>
        <n v="21.96"/>
        <n v="19.29"/>
        <n v="18.65"/>
        <n v="-26.21"/>
        <n v="20.63"/>
        <n v="10.49"/>
        <n v="18.18"/>
        <n v="18.78"/>
        <n v="21.01"/>
        <n v="27.82"/>
        <n v="15.2"/>
        <n v="9.27"/>
        <n v="8.46"/>
        <n v="8.59"/>
        <n v="8.38"/>
        <n v="8.75"/>
        <n v="8.54"/>
        <n v="9.11"/>
        <n v="12.37"/>
        <n v="8.0"/>
        <n v="6.48"/>
        <n v="9.28"/>
        <n v="9.99"/>
        <n v="9.96"/>
        <n v="35.99"/>
        <n v="15.64"/>
        <n v="14.46"/>
        <n v="11.7"/>
        <n v="14.85"/>
        <n v="14.78"/>
        <n v="14.76"/>
        <n v="6.72"/>
        <n v="13.78"/>
        <n v="15.54"/>
        <n v="16.75"/>
        <n v="14.77"/>
        <n v="-2.8"/>
        <n v="8.86"/>
        <n v="28.22"/>
        <n v="21.64"/>
        <n v="20.77"/>
        <n v="17.0"/>
        <n v="20.02"/>
        <n v="10.9"/>
        <n v="11.62"/>
        <n v="9.32"/>
        <n v="8.52"/>
        <n v="8.95"/>
        <n v="10.13"/>
        <n v="8.15"/>
        <n v="9.49"/>
        <s v="365 Days"/>
      </sharedItems>
    </cacheField>
    <cacheField name="3 Years">
      <sharedItems containsMixedTypes="1" containsNumber="1">
        <n v="10.56"/>
        <n v="10.11"/>
        <n v="10.36"/>
        <n v="10.55"/>
        <n v="10.46"/>
        <n v="10.58"/>
        <n v="9.87"/>
        <n v="10.41"/>
        <n v="10.64"/>
        <n v="9.53"/>
        <n v="10.73"/>
        <n v="10.43"/>
        <n v="9.91"/>
        <n v="10.37"/>
        <n v="10.76"/>
        <n v="10.28"/>
        <n v="10.07"/>
        <n v="10.24"/>
        <n v="10.1"/>
        <n v="10.72"/>
        <n v="9.98"/>
        <n v="10.06"/>
        <s v="N/A"/>
        <n v="10.04"/>
        <n v="10.53"/>
        <n v="10.9"/>
        <n v="10.44"/>
        <n v="10.65"/>
        <n v="12.68"/>
        <n v="10.42"/>
        <n v="9.47"/>
        <n v="10.18"/>
        <n v="11.63"/>
        <n v="10.33"/>
        <n v="9.85"/>
        <n v="10.79"/>
        <n v="7.64"/>
        <n v="8.4"/>
        <n v="10.29"/>
        <n v="10.54"/>
        <n v="9.82"/>
        <n v="8.7"/>
        <n v="9.26"/>
        <n v="11.51"/>
        <n v="11.44"/>
        <n v="9.68"/>
        <n v="10.74"/>
        <n v="10.26"/>
        <n v="10.27"/>
        <n v="15.5"/>
        <n v="10.87"/>
        <n v="13.38"/>
        <n v="9.31"/>
        <n v="10.47"/>
        <n v="11.16"/>
        <n v="7.97"/>
        <n v="11.01"/>
        <n v="18.02"/>
        <n v="11.37"/>
        <n v="23.68"/>
        <n v="24.72"/>
        <n v="30.76"/>
        <n v="29.35"/>
        <n v="23.35"/>
        <n v="16.14"/>
        <n v="22.77"/>
        <n v="15.17"/>
        <n v="17.17"/>
        <n v="8.96"/>
        <n v="3.22"/>
        <n v="-13.95"/>
        <n v="10.6"/>
        <n v="-14.15"/>
        <n v="12.71"/>
        <n v="10.57"/>
        <n v="24.6"/>
        <n v="23.07"/>
        <n v="23.17"/>
        <n v="45.55"/>
        <n v="2.6"/>
        <n v="70.39"/>
        <n v="23.61"/>
        <n v="62.45"/>
        <n v="24.82"/>
        <n v="13.17"/>
        <n v="12.61"/>
        <n v="10.8"/>
        <n v="12.12"/>
        <n v="10.66"/>
        <n v="12.96"/>
        <n v="11.02"/>
        <n v="13.3"/>
        <n v="9.61"/>
        <n v="11.11"/>
        <n v="12.23"/>
        <n v="7.12"/>
        <n v="11.61"/>
        <n v="11.78"/>
        <n v="11.36"/>
        <n v="9.52"/>
        <n v="-1.56"/>
        <n v="31.05"/>
        <n v="17.82"/>
        <n v="3.11"/>
        <n v="7.2"/>
        <n v="19.05"/>
        <n v="7.38"/>
        <n v="20.49"/>
        <n v="32.46"/>
        <n v="26.01"/>
        <n v="19.07"/>
        <n v="20.42"/>
        <n v="12.62"/>
        <n v="-5.5"/>
        <n v="23.12"/>
        <n v="21.65"/>
        <n v="7.29"/>
        <n v="30.73"/>
        <n v="32.37"/>
        <n v="46.62"/>
        <n v="24.49"/>
        <n v="19.0"/>
        <n v="0.73"/>
        <n v="31.23"/>
        <n v="12.48"/>
        <n v="21.09"/>
        <n v="21.9"/>
        <n v="13.54"/>
        <n v="18.72"/>
        <n v="15.14"/>
        <n v="24.8"/>
        <n v="10.82"/>
        <n v="27.28"/>
        <n v="10.3"/>
        <n v="9.95"/>
        <n v="10.49"/>
        <n v="10.05"/>
        <n v="10.2"/>
        <n v="8.44"/>
        <n v="10.31"/>
        <n v="9.64"/>
        <n v="9.27"/>
        <n v="10.17"/>
        <n v="9.96"/>
        <n v="9.67"/>
        <n v="10.4"/>
        <n v="10.16"/>
        <n v="5.22"/>
        <n v="9.8"/>
        <n v="9.35"/>
        <n v="8.75"/>
        <n v="11.1"/>
        <n v="10.52"/>
        <n v="10.22"/>
        <n v="9.32"/>
        <n v="5.58"/>
        <n v="9.2"/>
        <n v="9.77"/>
        <n v="8.92"/>
        <n v="10.45"/>
        <n v="9.28"/>
        <n v="8.9"/>
        <n v="8.47"/>
        <n v="7.37"/>
        <n v="9.51"/>
        <n v="9.17"/>
        <n v="10.09"/>
        <n v="8.11"/>
        <n v="9.13"/>
        <n v="8.65"/>
        <n v="8.18"/>
        <n v="8.51"/>
        <n v="8.94"/>
        <n v="9.42"/>
        <n v="9.57"/>
        <n v="9.92"/>
        <n v="6.44"/>
        <n v="11.05"/>
        <n v="9.29"/>
        <n v="9.69"/>
        <n v="13.74"/>
        <n v="11.86"/>
        <n v="21.51"/>
        <n v="13.97"/>
        <n v="15.22"/>
        <n v="11.58"/>
        <n v="23.21"/>
        <n v="35.13"/>
        <n v="14.9"/>
        <n v="13.52"/>
        <n v="10.95"/>
        <n v="19.44"/>
        <n v="6.77"/>
        <n v="6.25"/>
        <n v="3.47"/>
        <n v="17.45"/>
        <n v="8.86"/>
        <n v="16.45"/>
        <n v="13.66"/>
        <n v="13.78"/>
        <n v="10.78"/>
        <n v="12.0"/>
        <n v="63.35"/>
        <n v="9.19"/>
        <n v="9.49"/>
        <n v="2.84"/>
        <n v="16.02"/>
        <n v="11.07"/>
        <n v="24.22"/>
        <n v="11.82"/>
        <n v="6.52"/>
        <n v="2.47"/>
        <n v="14.77"/>
        <n v="26.79"/>
        <n v="16.13"/>
        <n v="-1.82"/>
        <n v="11.59"/>
        <n v="11.34"/>
        <n v="12.8"/>
        <n v="9.7"/>
        <n v="9.74"/>
        <n v="12.54"/>
        <n v="7.1"/>
        <n v="12.26"/>
        <n v="16.92"/>
        <n v="14.1"/>
        <n v="15.94"/>
        <n v="8.81"/>
        <n v="8.72"/>
        <n v="15.58"/>
        <n v="10.98"/>
        <n v="11.88"/>
        <n v="13.15"/>
        <n v="8.88"/>
        <n v="15.34"/>
        <n v="15.56"/>
        <n v="15.62"/>
        <n v="15.46"/>
        <n v="15.74"/>
        <n v="18.89"/>
        <n v="47.06"/>
        <n v="26.28"/>
        <n v="14.36"/>
        <n v="11.91"/>
        <n v="7.09"/>
        <n v="14.57"/>
        <n v="10.13"/>
        <n v="9.93"/>
        <n v="-100.0"/>
        <n v="9.73"/>
        <n v="10.48"/>
        <n v="9.86"/>
        <n v="11.06"/>
        <n v="10.75"/>
        <n v="-32.92"/>
        <n v="10.15"/>
        <n v="10.86"/>
        <n v="10.25"/>
        <n v="9.4"/>
        <n v="10.7"/>
        <n v="42.8"/>
        <n v="66.35"/>
        <n v="26.74"/>
        <n v="24.86"/>
        <n v="23.5"/>
        <n v="-26.52"/>
        <n v="27.58"/>
        <n v="11.5"/>
        <n v="19.77"/>
        <n v="26.38"/>
        <n v="28.11"/>
        <n v="43.24"/>
        <n v="30.41"/>
        <n v="9.63"/>
        <n v="8.79"/>
        <n v="9.15"/>
        <n v="9.81"/>
        <n v="9.23"/>
        <n v="9.65"/>
        <n v="9.71"/>
        <n v="9.48"/>
        <n v="8.35"/>
        <n v="8.93"/>
        <n v="10.97"/>
        <n v="9.55"/>
        <n v="12.27"/>
        <n v="45.19"/>
        <n v="16.58"/>
        <n v="24.4"/>
        <n v="12.46"/>
        <n v="15.81"/>
        <n v="25.65"/>
        <n v="18.73"/>
        <n v="18.31"/>
        <n v="6.59"/>
        <n v="16.2"/>
        <n v="19.7"/>
        <n v="19.28"/>
        <n v="22.09"/>
        <n v="2.0"/>
        <n v="11.62"/>
        <n v="34.66"/>
        <n v="23.95"/>
        <n v="42.95"/>
        <n v="17.79"/>
        <n v="24.77"/>
        <n v="11.38"/>
        <n v="10.34"/>
        <n v="10.61"/>
        <n v="11.98"/>
        <n v="10.5"/>
        <n v="9.12"/>
        <n v="9.45"/>
        <n v="8.09"/>
        <n v="9.84"/>
        <n v="10.08"/>
        <n v="10.96"/>
        <n v="9.3"/>
        <s v="2 Years"/>
      </sharedItems>
    </cacheField>
    <cacheField name="Date Fetched">
      <sharedItems containsMixedTypes="1" containsNumber="1">
        <n v="15.04"/>
        <n v="14.61"/>
        <n v="14.86"/>
        <n v="14.83"/>
        <n v="14.74"/>
        <n v="15.68"/>
        <n v="14.31"/>
        <n v="14.92"/>
        <n v="14.67"/>
        <n v="14.0"/>
        <n v="15.22"/>
        <n v="15.28"/>
        <n v="14.77"/>
        <n v="14.17"/>
        <n v="15.27"/>
        <n v="15.07"/>
        <n v="14.93"/>
        <n v="14.7"/>
        <n v="14.81"/>
        <n v="14.97"/>
        <n v="15.38"/>
        <n v="14.62"/>
        <s v="N/A"/>
        <n v="15.11"/>
        <n v="16.18"/>
        <n v="16.11"/>
        <n v="15.33"/>
        <n v="15.19"/>
        <n v="3.88"/>
        <n v="14.82"/>
        <n v="15.71"/>
        <n v="15.41"/>
        <n v="15.65"/>
        <n v="14.23"/>
        <n v="17.9"/>
        <n v="14.45"/>
        <n v="15.75"/>
        <n v="16.54"/>
        <n v="12.8"/>
        <n v="14.54"/>
        <n v="16.56"/>
        <n v="14.2"/>
        <n v="13.9"/>
        <n v="16.04"/>
        <n v="16.77"/>
        <n v="14.95"/>
        <n v="15.67"/>
        <n v="15.2"/>
        <n v="15.94"/>
        <n v="15.73"/>
        <n v="18.65"/>
        <n v="15.02"/>
        <n v="16.84"/>
        <n v="14.99"/>
        <n v="15.3"/>
        <n v="12.37"/>
        <n v="20.48"/>
        <n v="17.0"/>
        <n v="16.25"/>
        <n v="125.96"/>
        <n v="83.11"/>
        <n v="168.17"/>
        <n v="140.58"/>
        <n v="128.21"/>
        <n v="126.52"/>
        <n v="124.47"/>
        <n v="86.84"/>
        <n v="97.32"/>
        <n v="92.01"/>
        <n v="94.99"/>
        <n v="92.17"/>
        <n v="83.03"/>
        <n v="94.07"/>
        <n v="81.57"/>
        <n v="77.31"/>
        <n v="111.16"/>
        <n v="116.09"/>
        <n v="125.5"/>
        <n v="164.53"/>
        <n v="88.64"/>
        <n v="187.4"/>
        <n v="128.89"/>
        <n v="138.11"/>
        <n v="130.94"/>
        <n v="34.6"/>
        <n v="31.67"/>
        <n v="32.93"/>
        <n v="33.51"/>
        <n v="32.12"/>
        <n v="36.1"/>
        <n v="17.67"/>
        <n v="53.85"/>
        <n v="4.98"/>
        <n v="16.23"/>
        <n v="27.48"/>
        <n v="19.15"/>
        <n v="10.32"/>
        <n v="10.48"/>
        <n v="20.98"/>
        <n v="25.79"/>
        <n v="72.72"/>
        <n v="93.72"/>
        <n v="104.26"/>
        <n v="97.6"/>
        <n v="131.48"/>
        <n v="110.32"/>
        <n v="35.0"/>
        <n v="90.85"/>
        <n v="111.09"/>
        <n v="20.31"/>
        <n v="77.91"/>
        <n v="127.95"/>
        <n v="146.41"/>
        <n v="116.55"/>
        <n v="75.43"/>
        <n v="49.38"/>
        <n v="95.57"/>
        <n v="44.03"/>
        <n v="108.67"/>
        <n v="117.18"/>
        <n v="52.47"/>
        <n v="69.7"/>
        <n v="60.3"/>
        <n v="118.86"/>
        <n v="14.39"/>
        <n v="14.13"/>
        <n v="19.11"/>
        <n v="14.07"/>
        <n v="14.51"/>
        <n v="13.92"/>
        <n v="14.42"/>
        <n v="11.93"/>
        <n v="14.53"/>
        <n v="13.41"/>
        <n v="14.09"/>
        <n v="14.26"/>
        <n v="13.76"/>
        <n v="14.27"/>
        <n v="14.25"/>
        <n v="13.73"/>
        <n v="13.8"/>
        <n v="14.52"/>
        <n v="14.24"/>
        <n v="9.36"/>
        <n v="13.55"/>
        <n v="14.22"/>
        <n v="14.21"/>
        <n v="14.73"/>
        <n v="14.47"/>
        <n v="14.04"/>
        <n v="13.97"/>
        <n v="13.88"/>
        <n v="13.34"/>
        <n v="10.78"/>
        <n v="12.51"/>
        <n v="13.6"/>
        <n v="13.89"/>
        <n v="14.63"/>
        <n v="15.13"/>
        <n v="12.2"/>
        <n v="12.63"/>
        <n v="13.65"/>
        <n v="13.68"/>
        <n v="11.85"/>
        <n v="13.58"/>
        <n v="12.16"/>
        <n v="13.51"/>
        <n v="11.39"/>
        <n v="13.01"/>
        <n v="12.33"/>
        <n v="13.29"/>
        <n v="13.72"/>
        <n v="13.94"/>
        <n v="10.62"/>
        <n v="13.85"/>
        <n v="14.76"/>
        <n v="91.34"/>
        <n v="89.62"/>
        <n v="111.29"/>
        <n v="115.7"/>
        <n v="131.39"/>
        <n v="101.06"/>
        <n v="91.7"/>
        <n v="118.75"/>
        <n v="111.62"/>
        <n v="102.94"/>
        <n v="98.44"/>
        <n v="97.19"/>
        <n v="91.16"/>
        <n v="86.5"/>
        <n v="84.48"/>
        <n v="86.64"/>
        <n v="102.09"/>
        <n v="105.82"/>
        <n v="111.82"/>
        <n v="83.77"/>
        <n v="59.33"/>
        <n v="44.65"/>
        <n v="21.02"/>
        <n v="47.43"/>
        <n v="13.43"/>
        <n v="64.16"/>
        <n v="13.42"/>
        <n v="59.88"/>
        <n v="31.5"/>
        <n v="111.36"/>
        <n v="35.61"/>
        <n v="91.76"/>
        <n v="31.97"/>
        <n v="87.52"/>
        <n v="89.65"/>
        <n v="43.03"/>
        <n v="34.12"/>
        <n v="31.68"/>
        <n v="76.46"/>
        <n v="27.64"/>
        <n v="70.15"/>
        <n v="37.74"/>
        <n v="56.33"/>
        <n v="16.7"/>
        <n v="44.18"/>
        <n v="86.53"/>
        <n v="53.91"/>
        <n v="73.36"/>
        <n v="83.2"/>
        <n v="42.25"/>
        <n v="70.88"/>
        <n v="63.03"/>
        <n v="22.29"/>
        <n v="79.48"/>
        <n v="80.22"/>
        <n v="76.21"/>
        <n v="73.95"/>
        <n v="72.03"/>
        <n v="91.43"/>
        <n v="100.32"/>
        <n v="355.4"/>
        <n v="94.82"/>
        <n v="91.2"/>
        <n v="101.28"/>
        <n v="-24.09"/>
        <n v="99.76"/>
        <n v="27.61"/>
        <n v="-50.0"/>
        <n v="15.78"/>
        <n v="14.49"/>
        <n v="15.0"/>
        <n v="14.71"/>
        <n v="14.96"/>
        <n v="51.22"/>
        <n v="16.19"/>
        <n v="15.42"/>
        <n v="-10.75"/>
        <n v="16.45"/>
        <n v="16.27"/>
        <n v="15.4"/>
        <n v="15.69"/>
        <n v="16.26"/>
        <n v="102.17"/>
        <n v="149.99"/>
        <n v="135.68"/>
        <n v="164.49"/>
        <n v="130.79"/>
        <n v="22.42"/>
        <n v="133.35"/>
        <n v="96.76"/>
        <n v="131.87"/>
        <n v="141.52"/>
        <n v="120.39"/>
        <n v="167.25"/>
        <n v="155.04"/>
        <n v="13.19"/>
        <n v="13.96"/>
        <n v="12.64"/>
        <n v="14.16"/>
        <n v="15.44"/>
        <n v="14.05"/>
        <n v="14.91"/>
        <n v="13.56"/>
        <n v="15.26"/>
        <n v="15.01"/>
        <n v="13.59"/>
        <n v="12.05"/>
        <n v="12.19"/>
        <n v="15.77"/>
        <n v="14.32"/>
        <n v="13.57"/>
        <n v="14.29"/>
        <n v="15.92"/>
        <n v="94.08"/>
        <n v="106.05"/>
        <n v="132.46"/>
        <n v="137.26"/>
        <n v="112.17"/>
        <n v="124.18"/>
        <n v="114.81"/>
        <n v="113.9"/>
        <n v="111.69"/>
        <n v="85.39"/>
        <n v="102.83"/>
        <n v="119.31"/>
        <n v="96.8"/>
        <n v="89.94"/>
        <n v="71.86"/>
        <n v="133.41"/>
        <n v="139.55"/>
        <n v="145.7"/>
        <n v="151.68"/>
        <n v="15.93"/>
        <n v="83.95"/>
        <n v="81.27"/>
        <n v="15.1"/>
        <n v="14.37"/>
        <n v="15.64"/>
        <n v="15.34"/>
        <n v="15.85"/>
        <n v="11.94"/>
        <n v="13.15"/>
        <n v="12.24"/>
        <n v="13.08"/>
        <n v="14.88"/>
        <n v="16.12"/>
        <n v="12.75"/>
        <s v="3 Yea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B13:C24" firstHeaderRow="0" firstDataRow="1" firstDataCol="0"/>
  <pivotFields>
    <pivotField name="Instrument " axis="axisRow" compact="0" outline="0" multipleItemSelectionAllowed="1" showAll="0" sortType="ascending">
      <items>
        <item x="7"/>
        <item x="5"/>
        <item x="6"/>
        <item x="4"/>
        <item x="9"/>
        <item x="2"/>
        <item x="8"/>
        <item x="0"/>
        <item x="1"/>
        <item x="3"/>
        <item t="default"/>
      </items>
    </pivotField>
    <pivotField name="Cost of Place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st Week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rent Week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ain/Los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5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9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7 Day NAV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AV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umber of Un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lacement" compact="0" numFmtId="1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of Maturity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ly Yield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e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1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Gross Expectati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30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ys to Matur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maining 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ncentration (%)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VB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dified Duratio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nvexity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0"/>
  </rowFields>
  <dataFields>
    <dataField name="Contribution" fld="14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Dashboard 2" cacheId="0" dataCaption="" compact="0" compactData="0">
  <location ref="B27:C38" firstHeaderRow="0" firstDataRow="1" firstDataCol="0"/>
  <pivotFields>
    <pivotField name="Instrument " axis="axisRow" compact="0" outline="0" multipleItemSelectionAllowed="1" showAll="0" sortType="ascending">
      <items>
        <item x="7"/>
        <item x="5"/>
        <item x="6"/>
        <item x="4"/>
        <item x="9"/>
        <item x="2"/>
        <item x="8"/>
        <item x="0"/>
        <item x="1"/>
        <item x="3"/>
        <item t="default"/>
      </items>
    </pivotField>
    <pivotField name="Cost of Place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st Week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rent Week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ain/Los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5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9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7 Day NAV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AV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umber of Un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lacement" compact="0" numFmtId="1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of Maturity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ly Yiel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e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1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Gross Expectati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30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ys to Matur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maining 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ncentration (%)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VB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dified Duratio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nvexity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0"/>
  </rowFields>
  <dataFields>
    <dataField name="Portfolio Concentration" fld="3" showDataAs="percentOfCol" baseField="0" numFmtId="10"/>
  </dataFields>
</pivotTableDefinition>
</file>

<file path=xl/pivotTables/pivotTable3.xml><?xml version="1.0" encoding="utf-8"?>
<pivotTableDefinition xmlns="http://schemas.openxmlformats.org/spreadsheetml/2006/main" name="Dashboard 3" cacheId="0" dataCaption="" rowGrandTotals="0" compact="0" compactData="0">
  <location ref="B40:C44" firstHeaderRow="0" firstDataRow="1" firstDataCol="0"/>
  <pivotFields>
    <pivotField name="Instrument " axis="axisRow" compact="0" outline="0" multipleItemSelectionAllowed="1" showAll="0" sortType="ascending">
      <items>
        <item h="1" x="0"/>
        <item h="1" x="1"/>
        <item h="1" x="2"/>
        <item h="1" x="3"/>
        <item h="1" x="4"/>
        <item x="5"/>
        <item x="6"/>
        <item x="7"/>
        <item x="8"/>
        <item h="1"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st of Place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st Week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rent Week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ain/Los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 Day Return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5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9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7 Day NAV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AV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umber of Un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lacement" compact="0" numFmtId="1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of Maturity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ly Yiel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e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1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Gross Expectati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30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ys to Matur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maining 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ncentration (%)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VB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dified Duratio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nvexity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0"/>
  </rowFields>
  <dataFields>
    <dataField name="DoD Returns" fld="5" subtotal="average" baseField="0"/>
  </dataFields>
</pivotTableDefinition>
</file>

<file path=xl/pivotTables/pivotTable4.xml><?xml version="1.0" encoding="utf-8"?>
<pivotTableDefinition xmlns="http://schemas.openxmlformats.org/spreadsheetml/2006/main" name="Pivot Table 1" cacheId="1" dataCaption="" compact="0" compactData="0">
  <location ref="E3:I179" firstHeaderRow="0" firstDataRow="2" firstDataCol="0" rowPageCount="1" colPageCount="1"/>
  <pivotFields>
    <pivotField name="Sec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Page" compact="0" outline="0" multipleItemSelectionAllowed="1" showAll="0">
      <items>
        <item x="0"/>
        <item x="1"/>
        <item h="1" x="2"/>
        <item x="3"/>
        <item x="4"/>
        <item x="5"/>
        <item x="6"/>
        <item x="7"/>
        <item x="8"/>
        <item h="1" x="9"/>
        <item h="1" x="10"/>
        <item h="1" x="11"/>
        <item h="1" x="12"/>
        <item h="1" x="13"/>
        <item x="14"/>
        <item h="1" x="15"/>
        <item h="1" x="16"/>
        <item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</pivotField>
    <pivotField name="Fund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AV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name="1 D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name="15 Da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name="30 Da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90 Da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name="180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270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365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2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t="default"/>
      </items>
    </pivotField>
    <pivotField name="3 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name="Date Fetch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</pivotFields>
  <rowFields>
    <field x="2"/>
  </rowFields>
  <colFields>
    <field x="-2"/>
  </colFields>
  <pageFields>
    <pageField fld="1"/>
  </pageFields>
  <dataFields>
    <dataField name="SUM of 1 Day" fld="7" baseField="0"/>
    <dataField name="SUM of 15 Days" fld="8" baseField="0"/>
    <dataField name="SUM of 30 Days" fld="9" baseField="0"/>
    <dataField name="SUM of 90 Days" fld="10" baseField="0"/>
  </dataFields>
</pivotTableDefinition>
</file>

<file path=xl/pivotTables/pivotTable5.xml><?xml version="1.0" encoding="utf-8"?>
<pivotTableDefinition xmlns="http://schemas.openxmlformats.org/spreadsheetml/2006/main" name="Pivot Table 1 2" cacheId="0" dataCaption="" compact="0" compactData="0">
  <location ref="A44:B55" firstHeaderRow="0" firstDataRow="1" firstDataCol="0"/>
  <pivotFields>
    <pivotField name="Instrument " axis="axisRow" compact="0" outline="0" multipleItemSelectionAllowed="1" showAll="0" sortType="ascending">
      <items>
        <item x="7"/>
        <item x="5"/>
        <item x="6"/>
        <item x="4"/>
        <item x="9"/>
        <item x="2"/>
        <item x="8"/>
        <item x="0"/>
        <item x="1"/>
        <item x="3"/>
        <item t="default"/>
      </items>
    </pivotField>
    <pivotField name="Cost of Place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st Week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rent Week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ain/Los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5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90 Day Retur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7 Day NAV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AV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umber of Un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of Placement" compact="0" numFmtId="1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of Maturity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ly Yiel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e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1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Gross Expectati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Adjusted Rate - 30 Day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ys to Matur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maining 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ncentration (%)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VB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dified Duratio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nvexity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0"/>
  </rowFields>
  <dataFields>
    <dataField name="SUM of Current Week" fld="3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" dT="2026-02-23T06:21:04.00" personId="{a5b18ffb-9840-482f-9770-368bd63e43c7}" id="{a05fffee-d803-4aa2-89f4-6fb3e3c9671a}" done="0">
    <x18tc:text xml:space="preserve">12 Jan 2026
3m KIBOR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20.88"/>
    <col customWidth="1" min="3" max="3" width="26.25"/>
    <col customWidth="1" min="4" max="4" width="24.0"/>
    <col customWidth="1" min="5" max="6" width="27.5"/>
    <col customWidth="1" hidden="1" min="7" max="8" width="20.88"/>
    <col customWidth="1" min="9" max="13" width="20.88"/>
    <col customWidth="1" min="14" max="26" width="12.5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ht="15.75" customHeight="1">
      <c r="A2" s="2" t="s">
        <v>12</v>
      </c>
      <c r="B2" s="3">
        <v>1.999988012E9</v>
      </c>
      <c r="C2" s="4">
        <v>2.05721944977E9</v>
      </c>
      <c r="D2" s="3">
        <f>C2</f>
        <v>2057219450</v>
      </c>
      <c r="E2" s="3">
        <v>2.1114700835E9</v>
      </c>
      <c r="F2" s="5">
        <f t="shared" ref="F2:F12" si="2">C2/$E$13</f>
        <v>0.2195501246</v>
      </c>
      <c r="G2" s="6">
        <f>D2</f>
        <v>2057219450</v>
      </c>
      <c r="H2" s="5">
        <f t="shared" ref="H2:H12" si="3">E2/$E$13</f>
        <v>0.2253398489</v>
      </c>
      <c r="I2" s="2">
        <v>31.0</v>
      </c>
      <c r="J2" s="2">
        <f>218-I2</f>
        <v>187</v>
      </c>
      <c r="K2" s="7">
        <f t="shared" ref="K2:K12" si="4">C2/SUM($E$2:$E$12)*J2</f>
        <v>41.05587331</v>
      </c>
      <c r="L2" s="8">
        <f t="shared" ref="L2:L12" si="5">I2/31</f>
        <v>1</v>
      </c>
      <c r="M2" s="9">
        <f t="shared" ref="M2:M12" si="6">E2*L2</f>
        <v>2111470084</v>
      </c>
      <c r="N2" s="6"/>
    </row>
    <row r="3" ht="15.75" customHeight="1">
      <c r="A3" s="2" t="s">
        <v>13</v>
      </c>
      <c r="B3" s="3">
        <v>4.877455E8</v>
      </c>
      <c r="C3" s="10">
        <f t="shared" ref="C3:D3" si="1">B3</f>
        <v>487745500</v>
      </c>
      <c r="D3" s="11">
        <f t="shared" si="1"/>
        <v>487745500</v>
      </c>
      <c r="E3" s="3">
        <v>4.9255976055E8</v>
      </c>
      <c r="F3" s="5">
        <f t="shared" si="2"/>
        <v>0.05205306868</v>
      </c>
      <c r="G3" s="6">
        <f t="shared" ref="G3:G4" si="8">E3</f>
        <v>492559760.6</v>
      </c>
      <c r="H3" s="5">
        <f t="shared" si="3"/>
        <v>0.05256685515</v>
      </c>
      <c r="I3" s="2">
        <v>31.0</v>
      </c>
      <c r="J3" s="2">
        <f>64-I3</f>
        <v>33</v>
      </c>
      <c r="K3" s="7">
        <f t="shared" si="4"/>
        <v>1.717751267</v>
      </c>
      <c r="L3" s="8">
        <f t="shared" si="5"/>
        <v>1</v>
      </c>
      <c r="M3" s="9">
        <f t="shared" si="6"/>
        <v>492559760.6</v>
      </c>
      <c r="N3" s="6"/>
    </row>
    <row r="4" ht="15.75" customHeight="1">
      <c r="A4" s="2" t="s">
        <v>14</v>
      </c>
      <c r="B4" s="3">
        <v>4.741825E8</v>
      </c>
      <c r="C4" s="10">
        <f t="shared" ref="C4:D4" si="7">B4</f>
        <v>474182500</v>
      </c>
      <c r="D4" s="11">
        <f t="shared" si="7"/>
        <v>474182500</v>
      </c>
      <c r="E4" s="3">
        <v>4.9276545495E8</v>
      </c>
      <c r="F4" s="5">
        <f t="shared" si="2"/>
        <v>0.05060560116</v>
      </c>
      <c r="G4" s="6">
        <f t="shared" si="8"/>
        <v>492765455</v>
      </c>
      <c r="H4" s="5">
        <f t="shared" si="3"/>
        <v>0.05258880722</v>
      </c>
      <c r="I4" s="2">
        <v>31.0</v>
      </c>
      <c r="J4" s="2">
        <f>162-I4</f>
        <v>131</v>
      </c>
      <c r="K4" s="7">
        <f t="shared" si="4"/>
        <v>6.629333752</v>
      </c>
      <c r="L4" s="8">
        <f t="shared" si="5"/>
        <v>1</v>
      </c>
      <c r="M4" s="9">
        <f t="shared" si="6"/>
        <v>492765455</v>
      </c>
      <c r="N4" s="6"/>
    </row>
    <row r="5" ht="15.75" customHeight="1">
      <c r="A5" s="2" t="s">
        <v>15</v>
      </c>
      <c r="B5" s="12">
        <v>1.601144278E9</v>
      </c>
      <c r="C5" s="6">
        <v>1.055368872E9</v>
      </c>
      <c r="D5" s="11">
        <f t="shared" ref="D5:D10" si="9">C5</f>
        <v>1055368872</v>
      </c>
      <c r="E5" s="3">
        <v>3.020864339E9</v>
      </c>
      <c r="F5" s="5">
        <f t="shared" si="2"/>
        <v>0.1126308462</v>
      </c>
      <c r="G5" s="6">
        <v>2.0E9</v>
      </c>
      <c r="H5" s="5">
        <f t="shared" si="3"/>
        <v>0.322392024</v>
      </c>
      <c r="I5" s="2">
        <v>31.0</v>
      </c>
      <c r="J5" s="2">
        <v>0.0</v>
      </c>
      <c r="K5" s="7">
        <f t="shared" si="4"/>
        <v>0</v>
      </c>
      <c r="L5" s="8">
        <f t="shared" si="5"/>
        <v>1</v>
      </c>
      <c r="M5" s="9">
        <f t="shared" si="6"/>
        <v>3020864339</v>
      </c>
      <c r="N5" s="6"/>
    </row>
    <row r="6" ht="15.75" customHeight="1">
      <c r="A6" s="2" t="s">
        <v>16</v>
      </c>
      <c r="B6" s="12">
        <v>1.329131526E9</v>
      </c>
      <c r="C6" s="6">
        <v>1.02815707E9</v>
      </c>
      <c r="D6" s="11">
        <f t="shared" si="9"/>
        <v>1028157070</v>
      </c>
      <c r="E6" s="6">
        <v>556124.26</v>
      </c>
      <c r="F6" s="5">
        <f t="shared" si="2"/>
        <v>0.1097267542</v>
      </c>
      <c r="G6" s="6">
        <f t="shared" ref="G6:G10" si="10">E6</f>
        <v>556124.26</v>
      </c>
      <c r="H6" s="5">
        <f t="shared" si="3"/>
        <v>0.00005935057177</v>
      </c>
      <c r="I6" s="2">
        <v>31.0</v>
      </c>
      <c r="J6" s="2">
        <v>0.0</v>
      </c>
      <c r="K6" s="7">
        <f t="shared" si="4"/>
        <v>0</v>
      </c>
      <c r="L6" s="8">
        <f t="shared" si="5"/>
        <v>1</v>
      </c>
      <c r="M6" s="9">
        <f t="shared" si="6"/>
        <v>556124.26</v>
      </c>
      <c r="N6" s="6"/>
    </row>
    <row r="7" ht="15.75" customHeight="1">
      <c r="A7" s="13" t="s">
        <v>17</v>
      </c>
      <c r="B7" s="14">
        <v>1.0E9</v>
      </c>
      <c r="C7" s="14">
        <v>1.0E9</v>
      </c>
      <c r="D7" s="11">
        <f t="shared" si="9"/>
        <v>1000000000</v>
      </c>
      <c r="E7" s="6">
        <v>0.0</v>
      </c>
      <c r="F7" s="5">
        <f t="shared" si="2"/>
        <v>0.1067217815</v>
      </c>
      <c r="G7" s="6">
        <f t="shared" si="10"/>
        <v>0</v>
      </c>
      <c r="H7" s="5">
        <f t="shared" si="3"/>
        <v>0</v>
      </c>
      <c r="I7" s="2">
        <v>31.0</v>
      </c>
      <c r="J7" s="2">
        <v>0.0</v>
      </c>
      <c r="K7" s="7">
        <f t="shared" si="4"/>
        <v>0</v>
      </c>
      <c r="L7" s="8">
        <f t="shared" si="5"/>
        <v>1</v>
      </c>
      <c r="M7" s="9">
        <f t="shared" si="6"/>
        <v>0</v>
      </c>
      <c r="N7" s="6"/>
    </row>
    <row r="8" ht="15.75" customHeight="1">
      <c r="A8" s="13" t="s">
        <v>18</v>
      </c>
      <c r="B8" s="14">
        <v>1.3E9</v>
      </c>
      <c r="C8" s="14">
        <v>1.3E9</v>
      </c>
      <c r="D8" s="11">
        <f t="shared" si="9"/>
        <v>1300000000</v>
      </c>
      <c r="E8" s="6">
        <f>D8</f>
        <v>1300000000</v>
      </c>
      <c r="F8" s="5">
        <f t="shared" si="2"/>
        <v>0.138738316</v>
      </c>
      <c r="G8" s="6">
        <f t="shared" si="10"/>
        <v>1300000000</v>
      </c>
      <c r="H8" s="5">
        <f t="shared" si="3"/>
        <v>0.138738316</v>
      </c>
      <c r="I8" s="2">
        <v>31.0</v>
      </c>
      <c r="J8" s="2">
        <v>30.0</v>
      </c>
      <c r="K8" s="7">
        <f t="shared" si="4"/>
        <v>4.162149479</v>
      </c>
      <c r="L8" s="8">
        <f t="shared" si="5"/>
        <v>1</v>
      </c>
      <c r="M8" s="9">
        <f t="shared" si="6"/>
        <v>1300000000</v>
      </c>
      <c r="N8" s="6"/>
    </row>
    <row r="9" ht="15.75" customHeight="1">
      <c r="A9" s="13" t="s">
        <v>19</v>
      </c>
      <c r="B9" s="14">
        <v>8.16606719E8</v>
      </c>
      <c r="C9" s="11">
        <v>8.27108187E8</v>
      </c>
      <c r="D9" s="11">
        <f t="shared" si="9"/>
        <v>827108187</v>
      </c>
      <c r="E9" s="11">
        <v>8.33081692E8</v>
      </c>
      <c r="F9" s="5">
        <f t="shared" si="2"/>
        <v>0.08827045922</v>
      </c>
      <c r="G9" s="6">
        <f t="shared" si="10"/>
        <v>833081692</v>
      </c>
      <c r="H9" s="5">
        <f t="shared" si="3"/>
        <v>0.08890796231</v>
      </c>
      <c r="I9" s="2">
        <v>31.0</v>
      </c>
      <c r="J9" s="2">
        <v>271.0</v>
      </c>
      <c r="K9" s="7">
        <f t="shared" si="4"/>
        <v>23.92129445</v>
      </c>
      <c r="L9" s="8">
        <f t="shared" si="5"/>
        <v>1</v>
      </c>
      <c r="M9" s="9">
        <f t="shared" si="6"/>
        <v>833081692</v>
      </c>
      <c r="N9" s="6"/>
    </row>
    <row r="10" ht="15.75" customHeight="1">
      <c r="A10" s="15" t="s">
        <v>20</v>
      </c>
      <c r="B10" s="14">
        <v>3.03753987E8</v>
      </c>
      <c r="C10" s="11">
        <v>3.06538002E8</v>
      </c>
      <c r="D10" s="11">
        <f t="shared" si="9"/>
        <v>306538002</v>
      </c>
      <c r="E10" s="11">
        <v>3.09361746E8</v>
      </c>
      <c r="F10" s="5">
        <f t="shared" si="2"/>
        <v>0.03271428167</v>
      </c>
      <c r="G10" s="6">
        <f t="shared" si="10"/>
        <v>309361746</v>
      </c>
      <c r="H10" s="5">
        <f t="shared" si="3"/>
        <v>0.03301563666</v>
      </c>
      <c r="I10" s="2">
        <v>31.0</v>
      </c>
      <c r="J10" s="2">
        <v>0.0</v>
      </c>
      <c r="K10" s="7">
        <f t="shared" si="4"/>
        <v>0</v>
      </c>
      <c r="L10" s="8">
        <f t="shared" si="5"/>
        <v>1</v>
      </c>
      <c r="M10" s="9">
        <f t="shared" si="6"/>
        <v>309361746</v>
      </c>
      <c r="N10" s="6"/>
    </row>
    <row r="11" ht="15.75" customHeight="1">
      <c r="A11" s="15" t="s">
        <v>21</v>
      </c>
      <c r="B11" s="11"/>
      <c r="C11" s="6"/>
      <c r="D11" s="11"/>
      <c r="E11" s="11">
        <v>0.0</v>
      </c>
      <c r="F11" s="5">
        <f t="shared" si="2"/>
        <v>0</v>
      </c>
      <c r="G11" s="6">
        <f>D23*0.3</f>
        <v>300000000</v>
      </c>
      <c r="H11" s="5">
        <f t="shared" si="3"/>
        <v>0</v>
      </c>
      <c r="I11" s="2">
        <v>31.0</v>
      </c>
      <c r="J11" s="2">
        <v>0.0</v>
      </c>
      <c r="K11" s="7">
        <f t="shared" si="4"/>
        <v>0</v>
      </c>
      <c r="L11" s="8">
        <f t="shared" si="5"/>
        <v>1</v>
      </c>
      <c r="M11" s="9">
        <f t="shared" si="6"/>
        <v>0</v>
      </c>
      <c r="N11" s="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 t="s">
        <v>22</v>
      </c>
      <c r="B12" s="6">
        <v>8.0E8</v>
      </c>
      <c r="C12" s="11">
        <v>8.02654992E8</v>
      </c>
      <c r="D12" s="11">
        <f>C12</f>
        <v>802654992</v>
      </c>
      <c r="E12" s="6">
        <v>8.0949922327E8</v>
      </c>
      <c r="F12" s="5">
        <f t="shared" si="2"/>
        <v>0.08566077068</v>
      </c>
      <c r="G12" s="6">
        <f>E12</f>
        <v>809499223.3</v>
      </c>
      <c r="H12" s="5">
        <f t="shared" si="3"/>
        <v>0.08639119924</v>
      </c>
      <c r="I12" s="2">
        <v>31.0</v>
      </c>
      <c r="J12" s="2">
        <v>1.0</v>
      </c>
      <c r="K12" s="7">
        <f t="shared" si="4"/>
        <v>0.08566077068</v>
      </c>
      <c r="L12" s="8">
        <f t="shared" si="5"/>
        <v>1</v>
      </c>
      <c r="M12" s="9">
        <f t="shared" si="6"/>
        <v>809499223.3</v>
      </c>
      <c r="N12" s="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7" t="s">
        <v>23</v>
      </c>
      <c r="B13" s="18"/>
      <c r="C13" s="18">
        <f t="shared" ref="C13:H13" si="11">SUM(C2:C12)</f>
        <v>9338974573</v>
      </c>
      <c r="D13" s="18">
        <f t="shared" si="11"/>
        <v>9338974573</v>
      </c>
      <c r="E13" s="18">
        <f t="shared" si="11"/>
        <v>9370158424</v>
      </c>
      <c r="F13" s="19">
        <f t="shared" si="11"/>
        <v>0.9966720039</v>
      </c>
      <c r="G13" s="18">
        <f t="shared" si="11"/>
        <v>8595043451</v>
      </c>
      <c r="H13" s="20">
        <f t="shared" si="11"/>
        <v>1</v>
      </c>
      <c r="I13" s="18"/>
      <c r="J13" s="21"/>
      <c r="K13" s="22">
        <f>SUM(K2:K12)</f>
        <v>77.57206302</v>
      </c>
      <c r="L13" s="5"/>
      <c r="M13" s="23">
        <f>SUM(M2:M12)</f>
        <v>9370158424</v>
      </c>
      <c r="N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/>
    <row r="15" ht="15.75" customHeight="1">
      <c r="B15" s="1"/>
      <c r="C15" s="1"/>
      <c r="D15" s="1"/>
    </row>
    <row r="16" ht="15.75" customHeight="1">
      <c r="B16" s="2" t="s">
        <v>24</v>
      </c>
      <c r="C16" s="5"/>
      <c r="D16" s="5"/>
      <c r="J16" s="24"/>
    </row>
    <row r="17" ht="15.75" customHeight="1">
      <c r="B17" s="5">
        <f>10.63%-C17</f>
        <v>0.1058</v>
      </c>
      <c r="C17" s="5">
        <v>5.0E-4</v>
      </c>
      <c r="D17" s="5"/>
      <c r="E17" s="5"/>
      <c r="F17" s="5"/>
      <c r="G17" s="5"/>
      <c r="H17" s="5"/>
      <c r="I17" s="5"/>
      <c r="J17" s="5"/>
      <c r="K17" s="2">
        <v>1300.0</v>
      </c>
      <c r="L17" s="8">
        <v>0.1005</v>
      </c>
      <c r="M17" s="2">
        <f t="shared" ref="M17:M19" si="12">L17*K17</f>
        <v>130.65</v>
      </c>
    </row>
    <row r="18" ht="15.75" customHeight="1">
      <c r="D18" s="5"/>
      <c r="E18" s="5"/>
      <c r="F18" s="5"/>
      <c r="G18" s="5"/>
      <c r="H18" s="5"/>
      <c r="I18" s="5"/>
      <c r="J18" s="5"/>
      <c r="K18" s="2">
        <v>1238.0</v>
      </c>
      <c r="L18" s="5">
        <v>0.1075</v>
      </c>
      <c r="M18" s="2">
        <f t="shared" si="12"/>
        <v>133.085</v>
      </c>
    </row>
    <row r="19" ht="15.75" customHeight="1">
      <c r="B19" s="25"/>
      <c r="C19" s="23" t="s">
        <v>25</v>
      </c>
      <c r="D19" s="6">
        <f>D5+D6+D7</f>
        <v>3083525942</v>
      </c>
      <c r="E19" s="2"/>
      <c r="F19" s="2"/>
      <c r="G19" s="2"/>
      <c r="H19" s="2"/>
      <c r="I19" s="2" t="s">
        <v>26</v>
      </c>
      <c r="J19" s="5"/>
      <c r="K19" s="2">
        <v>1238.0</v>
      </c>
      <c r="L19" s="5">
        <f>B17</f>
        <v>0.1058</v>
      </c>
      <c r="M19" s="2">
        <f t="shared" si="12"/>
        <v>130.9804</v>
      </c>
    </row>
    <row r="20" ht="15.75" customHeight="1">
      <c r="B20" s="5"/>
      <c r="C20" s="2" t="s">
        <v>27</v>
      </c>
      <c r="D20" s="6">
        <f>D19-D21</f>
        <v>83525942</v>
      </c>
      <c r="E20" s="26" t="s">
        <v>28</v>
      </c>
      <c r="L20" s="5">
        <f>L18-L19</f>
        <v>0.0017</v>
      </c>
      <c r="M20" s="23">
        <f>M17+M18-M19</f>
        <v>132.7546</v>
      </c>
    </row>
    <row r="21" ht="15.75" customHeight="1">
      <c r="B21" s="25" t="s">
        <v>29</v>
      </c>
      <c r="C21" s="2" t="s">
        <v>30</v>
      </c>
      <c r="D21" s="2">
        <v>3.0E9</v>
      </c>
      <c r="E21" s="5"/>
      <c r="F21" s="5"/>
      <c r="G21" s="5"/>
      <c r="H21" s="5"/>
      <c r="I21" s="5"/>
      <c r="J21" s="5"/>
      <c r="M21" s="5">
        <f>M20/K17</f>
        <v>0.1021189231</v>
      </c>
    </row>
    <row r="22" ht="15.75" customHeight="1">
      <c r="B22" s="5"/>
      <c r="C22" s="2" t="s">
        <v>31</v>
      </c>
      <c r="D22" s="2">
        <v>2.0E9</v>
      </c>
      <c r="E22" s="27"/>
      <c r="F22" s="27"/>
      <c r="G22" s="27"/>
      <c r="I22" s="5"/>
      <c r="J22" s="5"/>
      <c r="L22" s="13"/>
      <c r="M22" s="5">
        <f>M21-10.38%</f>
        <v>-0.001681076923</v>
      </c>
    </row>
    <row r="23" ht="15.75" customHeight="1">
      <c r="B23" s="5"/>
      <c r="C23" s="26" t="s">
        <v>32</v>
      </c>
      <c r="D23" s="28">
        <f>D21-D22</f>
        <v>1000000000</v>
      </c>
      <c r="E23" s="27"/>
      <c r="F23" s="27"/>
      <c r="G23" s="27"/>
      <c r="L23" s="15"/>
      <c r="M23" s="5"/>
    </row>
    <row r="24" ht="15.75" customHeight="1">
      <c r="A24" s="5"/>
      <c r="B24" s="5"/>
      <c r="D24" s="2"/>
      <c r="E24" s="27"/>
      <c r="F24" s="27"/>
      <c r="G24" s="27"/>
      <c r="L24" s="15"/>
      <c r="M24" s="5"/>
    </row>
    <row r="25" ht="15.75" customHeight="1">
      <c r="A25" s="5"/>
      <c r="B25" s="5"/>
      <c r="D25" s="25" t="s">
        <v>33</v>
      </c>
      <c r="E25" s="27"/>
      <c r="F25" s="27"/>
      <c r="G25" s="27"/>
      <c r="L25" s="15"/>
      <c r="M25" s="5"/>
    </row>
    <row r="26" ht="15.75" customHeight="1">
      <c r="A26" s="1" t="s">
        <v>34</v>
      </c>
      <c r="B26" s="2" t="s">
        <v>35</v>
      </c>
      <c r="C26" s="29">
        <f>G9+G10</f>
        <v>1142443438</v>
      </c>
      <c r="D26" s="27">
        <f>C26/G13</f>
        <v>0.1329188671</v>
      </c>
      <c r="E26" s="27"/>
      <c r="F26" s="27"/>
      <c r="G26" s="27"/>
      <c r="I26" s="30" t="s">
        <v>36</v>
      </c>
      <c r="J26" s="30" t="s">
        <v>37</v>
      </c>
      <c r="K26" s="30" t="s">
        <v>38</v>
      </c>
      <c r="L26" s="30" t="s">
        <v>39</v>
      </c>
      <c r="M26" s="30" t="s">
        <v>40</v>
      </c>
      <c r="N26" s="30" t="s">
        <v>41</v>
      </c>
      <c r="O26" s="30" t="s">
        <v>42</v>
      </c>
    </row>
    <row r="27" ht="15.75" customHeight="1">
      <c r="A27" s="25"/>
      <c r="B27" s="2" t="s">
        <v>43</v>
      </c>
      <c r="C27" s="6">
        <f>C26+G11</f>
        <v>1442443438</v>
      </c>
      <c r="D27" s="31">
        <f>C27/G13</f>
        <v>0.1678227046</v>
      </c>
      <c r="E27" s="31"/>
      <c r="F27" s="31"/>
      <c r="G27" s="31"/>
      <c r="I27" s="32">
        <v>13066.0</v>
      </c>
      <c r="J27" s="32">
        <v>16694.0</v>
      </c>
      <c r="K27" s="32">
        <v>24891.0</v>
      </c>
      <c r="L27" s="32">
        <v>52779.0</v>
      </c>
      <c r="M27" s="32">
        <v>37386.0</v>
      </c>
      <c r="N27" s="32">
        <v>48905.0</v>
      </c>
      <c r="O27" s="33">
        <v>5167.0</v>
      </c>
    </row>
    <row r="28" ht="15.75" customHeight="1">
      <c r="B28" s="34"/>
      <c r="C28" s="35"/>
      <c r="D28" s="36"/>
      <c r="E28" s="37"/>
      <c r="F28" s="37"/>
      <c r="G28" s="37"/>
      <c r="I28" s="38">
        <v>83.0</v>
      </c>
      <c r="J28" s="38">
        <v>104.0</v>
      </c>
      <c r="K28" s="38">
        <v>140.0</v>
      </c>
      <c r="L28" s="38">
        <v>213.0</v>
      </c>
      <c r="M28" s="38">
        <v>132.0</v>
      </c>
      <c r="N28" s="38">
        <v>175.0</v>
      </c>
      <c r="O28" s="39">
        <v>18.0</v>
      </c>
    </row>
    <row r="29" ht="15.75" customHeight="1">
      <c r="D29" s="40"/>
      <c r="E29" s="38"/>
      <c r="F29" s="38"/>
      <c r="G29" s="38"/>
      <c r="H29" s="38"/>
      <c r="I29" s="38">
        <v>158.0</v>
      </c>
      <c r="J29" s="38">
        <v>160.0</v>
      </c>
      <c r="K29" s="38">
        <v>177.0</v>
      </c>
      <c r="L29" s="38">
        <v>248.0</v>
      </c>
      <c r="M29" s="38">
        <v>283.0</v>
      </c>
      <c r="N29" s="38">
        <v>279.0</v>
      </c>
      <c r="O29" s="39">
        <v>282.0</v>
      </c>
    </row>
    <row r="30" ht="15.75" customHeight="1">
      <c r="B30" s="2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A39" s="2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3.75"/>
    <col customWidth="1" min="3" max="6" width="12.5"/>
    <col customWidth="1" min="7" max="7" width="33.88"/>
    <col customWidth="1" min="8" max="8" width="14.25"/>
    <col customWidth="1" min="9" max="9" width="25.5"/>
    <col customWidth="1" min="10" max="26" width="12.5"/>
  </cols>
  <sheetData>
    <row r="1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ht="15.75" customHeight="1">
      <c r="A2" s="35"/>
      <c r="B2" s="41" t="s">
        <v>44</v>
      </c>
      <c r="C2" s="35"/>
      <c r="D2" s="35"/>
      <c r="E2" s="35"/>
      <c r="F2" s="35"/>
      <c r="G2" s="35"/>
      <c r="H2" s="35"/>
      <c r="I2" s="42" t="s">
        <v>32</v>
      </c>
      <c r="J2" s="35"/>
      <c r="K2" s="35"/>
      <c r="L2" s="35"/>
      <c r="M2" s="35"/>
      <c r="N2" s="35"/>
      <c r="O2" s="35"/>
    </row>
    <row r="3" ht="15.75" customHeight="1">
      <c r="A3" s="35"/>
      <c r="B3" s="43" t="s">
        <v>45</v>
      </c>
      <c r="C3" s="35"/>
      <c r="D3" s="44">
        <f>J8</f>
        <v>3000</v>
      </c>
      <c r="E3" s="35"/>
      <c r="F3" s="35"/>
      <c r="G3" s="35"/>
      <c r="H3" s="35"/>
      <c r="I3" s="35" t="s">
        <v>17</v>
      </c>
      <c r="J3" s="45">
        <v>1000.0</v>
      </c>
      <c r="K3" s="35"/>
      <c r="L3" s="35"/>
      <c r="M3" s="35"/>
      <c r="N3" s="35"/>
      <c r="O3" s="35"/>
    </row>
    <row r="4" ht="15.75" customHeight="1">
      <c r="A4" s="35"/>
      <c r="B4" s="43" t="s">
        <v>46</v>
      </c>
      <c r="C4" s="35"/>
      <c r="D4" s="44">
        <v>1.0</v>
      </c>
      <c r="E4" s="35"/>
      <c r="F4" s="35"/>
      <c r="G4" s="35"/>
      <c r="H4" s="35"/>
      <c r="I4" s="35" t="s">
        <v>47</v>
      </c>
      <c r="J4" s="45">
        <v>1058.0</v>
      </c>
      <c r="K4" s="35"/>
      <c r="L4" s="35"/>
      <c r="M4" s="35"/>
      <c r="N4" s="35"/>
      <c r="O4" s="3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 t="s">
        <v>48</v>
      </c>
      <c r="J5" s="45">
        <v>1022.0</v>
      </c>
      <c r="K5" s="35"/>
      <c r="L5" s="35"/>
      <c r="M5" s="35"/>
      <c r="N5" s="35"/>
      <c r="O5" s="35"/>
    </row>
    <row r="6" ht="15.75" customHeight="1">
      <c r="A6" s="2"/>
      <c r="B6" s="46" t="s">
        <v>49</v>
      </c>
      <c r="C6" s="46" t="s">
        <v>50</v>
      </c>
      <c r="D6" s="46" t="s">
        <v>51</v>
      </c>
      <c r="E6" s="46" t="s">
        <v>52</v>
      </c>
      <c r="F6" s="35"/>
      <c r="G6" s="47" t="s">
        <v>53</v>
      </c>
      <c r="H6" s="35"/>
      <c r="I6" s="35" t="s">
        <v>54</v>
      </c>
      <c r="J6" s="45">
        <f>SUM(J3:J5)</f>
        <v>3080</v>
      </c>
      <c r="K6" s="35"/>
      <c r="L6" s="35"/>
      <c r="M6" s="35"/>
      <c r="N6" s="35"/>
      <c r="O6" s="35"/>
    </row>
    <row r="7" ht="15.75" customHeight="1">
      <c r="A7" s="35"/>
      <c r="B7" s="43" t="s">
        <v>55</v>
      </c>
      <c r="C7" s="27">
        <f t="shared" ref="C7:C12" si="1">E7/$D$3</f>
        <v>1</v>
      </c>
      <c r="D7" s="27">
        <v>0.1025</v>
      </c>
      <c r="E7" s="48">
        <f>J8</f>
        <v>3000</v>
      </c>
      <c r="F7" s="49">
        <f t="shared" ref="F7:F11" si="2">E7*(D7*1/12)</f>
        <v>25.625</v>
      </c>
      <c r="G7" s="35" t="s">
        <v>56</v>
      </c>
      <c r="H7" s="35"/>
      <c r="I7" s="35" t="s">
        <v>57</v>
      </c>
      <c r="J7" s="45">
        <v>-80.0</v>
      </c>
      <c r="K7" s="35"/>
      <c r="L7" s="35"/>
      <c r="M7" s="35"/>
      <c r="N7" s="35"/>
      <c r="O7" s="35"/>
    </row>
    <row r="8" ht="15.75" customHeight="1">
      <c r="A8" s="2"/>
      <c r="B8" s="43" t="s">
        <v>58</v>
      </c>
      <c r="C8" s="27">
        <f t="shared" si="1"/>
        <v>0</v>
      </c>
      <c r="D8" s="27">
        <v>0.107</v>
      </c>
      <c r="E8" s="44">
        <v>0.0</v>
      </c>
      <c r="F8" s="49">
        <f t="shared" si="2"/>
        <v>0</v>
      </c>
      <c r="G8" s="35" t="s">
        <v>59</v>
      </c>
      <c r="H8" s="35"/>
      <c r="I8" s="35"/>
      <c r="J8" s="45">
        <f>J6+J7</f>
        <v>3000</v>
      </c>
      <c r="K8" s="35"/>
      <c r="L8" s="35"/>
      <c r="M8" s="35"/>
      <c r="N8" s="35"/>
      <c r="O8" s="35"/>
    </row>
    <row r="9" ht="15.75" customHeight="1">
      <c r="A9" s="35"/>
      <c r="B9" s="43" t="s">
        <v>60</v>
      </c>
      <c r="C9" s="27">
        <f t="shared" si="1"/>
        <v>0</v>
      </c>
      <c r="D9" s="27">
        <v>0.105</v>
      </c>
      <c r="E9" s="44">
        <v>0.0</v>
      </c>
      <c r="F9" s="49">
        <f t="shared" si="2"/>
        <v>0</v>
      </c>
      <c r="G9" s="35" t="s">
        <v>59</v>
      </c>
      <c r="H9" s="35"/>
      <c r="N9" s="35"/>
      <c r="O9" s="35"/>
    </row>
    <row r="10" ht="15.75" customHeight="1">
      <c r="A10" s="35"/>
      <c r="B10" s="43" t="s">
        <v>61</v>
      </c>
      <c r="C10" s="27">
        <f t="shared" si="1"/>
        <v>0</v>
      </c>
      <c r="D10" s="27">
        <v>0.1014</v>
      </c>
      <c r="E10" s="44">
        <v>0.0</v>
      </c>
      <c r="F10" s="49">
        <f t="shared" si="2"/>
        <v>0</v>
      </c>
      <c r="G10" s="35" t="s">
        <v>62</v>
      </c>
      <c r="H10" s="35"/>
      <c r="I10" s="35"/>
      <c r="J10" s="47" t="s">
        <v>63</v>
      </c>
      <c r="K10" s="47" t="s">
        <v>64</v>
      </c>
      <c r="L10" s="47" t="s">
        <v>65</v>
      </c>
      <c r="M10" s="47" t="s">
        <v>66</v>
      </c>
      <c r="N10" s="35"/>
      <c r="O10" s="35"/>
    </row>
    <row r="11" ht="15.75" customHeight="1">
      <c r="A11" s="35"/>
      <c r="B11" s="50" t="s">
        <v>67</v>
      </c>
      <c r="C11" s="51">
        <f t="shared" si="1"/>
        <v>0</v>
      </c>
      <c r="D11" s="52">
        <v>0.1005</v>
      </c>
      <c r="E11" s="53">
        <v>0.0</v>
      </c>
      <c r="F11" s="54">
        <f t="shared" si="2"/>
        <v>0</v>
      </c>
      <c r="G11" s="35"/>
      <c r="H11" s="35"/>
      <c r="I11" s="35" t="s">
        <v>24</v>
      </c>
      <c r="J11" s="37">
        <v>0.1058</v>
      </c>
      <c r="K11" s="36">
        <v>-1238.0</v>
      </c>
      <c r="L11" s="55">
        <f t="shared" ref="L11:L12" si="3">(K11*J11)</f>
        <v>-130.9804</v>
      </c>
      <c r="M11" s="55">
        <f t="shared" ref="M11:M12" si="4">K11*J11*1/12</f>
        <v>-10.91503333</v>
      </c>
      <c r="N11" s="35"/>
      <c r="O11" s="35"/>
    </row>
    <row r="12" ht="15.75" customHeight="1">
      <c r="A12" s="35"/>
      <c r="B12" s="50" t="s">
        <v>68</v>
      </c>
      <c r="C12" s="51">
        <f t="shared" si="1"/>
        <v>0</v>
      </c>
      <c r="D12" s="56">
        <v>0.1025</v>
      </c>
      <c r="E12" s="50"/>
      <c r="F12" s="50"/>
      <c r="G12" s="35"/>
      <c r="H12" s="35"/>
      <c r="I12" s="35" t="s">
        <v>69</v>
      </c>
      <c r="J12" s="37">
        <v>0.1005</v>
      </c>
      <c r="K12" s="36">
        <v>1300.0</v>
      </c>
      <c r="L12" s="55">
        <f t="shared" si="3"/>
        <v>130.65</v>
      </c>
      <c r="M12" s="55">
        <f t="shared" si="4"/>
        <v>10.8875</v>
      </c>
      <c r="N12" s="35"/>
      <c r="O12" s="35"/>
    </row>
    <row r="13" ht="15.75" customHeight="1">
      <c r="A13" s="35"/>
      <c r="B13" s="43" t="s">
        <v>70</v>
      </c>
      <c r="C13" s="57">
        <f>SUM(C7:C10)</f>
        <v>1</v>
      </c>
      <c r="D13" s="35"/>
      <c r="E13" s="44">
        <f>SUM(E7:E11)</f>
        <v>3000</v>
      </c>
      <c r="F13" s="49">
        <f>SUM(F7:F11)+F186</f>
        <v>25.625</v>
      </c>
      <c r="H13" s="35"/>
      <c r="I13" s="35"/>
      <c r="J13" s="58">
        <f>J12-J11</f>
        <v>-0.0053</v>
      </c>
      <c r="K13" s="59"/>
      <c r="L13" s="60">
        <f t="shared" ref="L13:M13" si="5">L11+L12</f>
        <v>-0.3304</v>
      </c>
      <c r="M13" s="60">
        <f t="shared" si="5"/>
        <v>-0.02753333333</v>
      </c>
      <c r="N13" s="35"/>
      <c r="O13" s="35"/>
    </row>
    <row r="14" ht="15.75" customHeight="1">
      <c r="A14" s="35"/>
      <c r="B14" s="41" t="s">
        <v>71</v>
      </c>
      <c r="C14" s="35"/>
      <c r="D14" s="35"/>
      <c r="E14" s="35"/>
      <c r="F14" s="61">
        <f>(F13/E13)*12/1</f>
        <v>0.1025</v>
      </c>
      <c r="G14" s="35"/>
      <c r="H14" s="35"/>
      <c r="I14" s="35"/>
      <c r="J14" s="35"/>
      <c r="K14" s="59"/>
      <c r="L14" s="35"/>
      <c r="M14" s="35"/>
      <c r="N14" s="35"/>
      <c r="O14" s="35"/>
    </row>
    <row r="15" ht="15.75" customHeight="1">
      <c r="A15" s="35"/>
      <c r="B15" s="2"/>
      <c r="C15" s="2"/>
      <c r="D15" s="2"/>
      <c r="E15" s="2"/>
      <c r="F15" s="35"/>
      <c r="G15" s="35"/>
      <c r="H15" s="35"/>
      <c r="I15" s="47" t="s">
        <v>72</v>
      </c>
      <c r="K15" s="6"/>
      <c r="N15" s="35"/>
      <c r="O15" s="35"/>
    </row>
    <row r="16" ht="15.75" customHeight="1">
      <c r="A16" s="35"/>
      <c r="B16" s="41" t="s">
        <v>73</v>
      </c>
      <c r="C16" s="25" t="s">
        <v>32</v>
      </c>
      <c r="E16" s="62">
        <v>1000.0</v>
      </c>
      <c r="F16" s="2"/>
      <c r="G16" s="35"/>
      <c r="H16" s="35"/>
      <c r="I16" s="35" t="s">
        <v>74</v>
      </c>
      <c r="J16" s="63">
        <f>F14</f>
        <v>0.1025</v>
      </c>
      <c r="K16" s="59">
        <f>E13</f>
        <v>3000</v>
      </c>
      <c r="L16" s="64">
        <f>K16*J16</f>
        <v>307.5</v>
      </c>
      <c r="M16" s="64">
        <f>L16*1/12</f>
        <v>25.625</v>
      </c>
      <c r="N16" s="35"/>
      <c r="O16" s="35"/>
    </row>
    <row r="17" ht="15.75" customHeight="1">
      <c r="A17" s="35"/>
      <c r="B17" s="43" t="s">
        <v>74</v>
      </c>
      <c r="C17" s="27">
        <f>E17/E23</f>
        <v>0.9</v>
      </c>
      <c r="D17" s="27">
        <v>0.1025</v>
      </c>
      <c r="E17" s="48">
        <f>(D3-E18)</f>
        <v>2700</v>
      </c>
      <c r="F17" s="49">
        <f t="shared" ref="F17:F22" si="6">E17*(D17*1/12)</f>
        <v>23.0625</v>
      </c>
      <c r="G17" s="35" t="s">
        <v>56</v>
      </c>
      <c r="H17" s="35"/>
      <c r="I17" s="35" t="s">
        <v>75</v>
      </c>
      <c r="J17" s="35"/>
      <c r="K17" s="59">
        <f>K16+K12</f>
        <v>4300</v>
      </c>
      <c r="L17" s="35"/>
      <c r="M17" s="35"/>
      <c r="N17" s="35"/>
      <c r="O17" s="35"/>
    </row>
    <row r="18" ht="15.75" customHeight="1">
      <c r="A18" s="35"/>
      <c r="B18" s="43" t="s">
        <v>58</v>
      </c>
      <c r="C18" s="27">
        <f t="shared" ref="C18:C22" si="8">E18/$D$3</f>
        <v>0.1</v>
      </c>
      <c r="D18" s="27">
        <v>0.107</v>
      </c>
      <c r="E18" s="44">
        <f>E16*0.3</f>
        <v>300</v>
      </c>
      <c r="F18" s="49">
        <f t="shared" si="6"/>
        <v>2.675</v>
      </c>
      <c r="G18" s="35" t="s">
        <v>76</v>
      </c>
      <c r="H18" s="35"/>
      <c r="I18" s="2" t="s">
        <v>77</v>
      </c>
      <c r="K18" s="6"/>
      <c r="L18" s="16">
        <f t="shared" ref="L18:M18" si="7">L16+L12</f>
        <v>438.15</v>
      </c>
      <c r="M18" s="16">
        <f t="shared" si="7"/>
        <v>36.5125</v>
      </c>
      <c r="N18" s="35"/>
      <c r="O18" s="35"/>
    </row>
    <row r="19" ht="15.75" customHeight="1">
      <c r="A19" s="35"/>
      <c r="B19" s="43" t="s">
        <v>60</v>
      </c>
      <c r="C19" s="27">
        <f t="shared" si="8"/>
        <v>0</v>
      </c>
      <c r="D19" s="27">
        <v>0.105</v>
      </c>
      <c r="E19" s="44">
        <v>0.0</v>
      </c>
      <c r="F19" s="49">
        <f t="shared" si="6"/>
        <v>0</v>
      </c>
      <c r="G19" s="35"/>
      <c r="H19" s="63"/>
      <c r="I19" s="2" t="s">
        <v>78</v>
      </c>
      <c r="K19" s="6"/>
      <c r="L19" s="16">
        <f t="shared" ref="L19:M19" si="9">L11</f>
        <v>-130.9804</v>
      </c>
      <c r="M19" s="16">
        <f t="shared" si="9"/>
        <v>-10.91503333</v>
      </c>
      <c r="N19" s="35"/>
      <c r="O19" s="35"/>
    </row>
    <row r="20" ht="15.75" customHeight="1">
      <c r="A20" s="35"/>
      <c r="B20" s="43" t="s">
        <v>61</v>
      </c>
      <c r="C20" s="27">
        <f t="shared" si="8"/>
        <v>0</v>
      </c>
      <c r="D20" s="27">
        <v>0.1014</v>
      </c>
      <c r="E20" s="44">
        <v>0.0</v>
      </c>
      <c r="F20" s="49">
        <f t="shared" si="6"/>
        <v>0</v>
      </c>
      <c r="G20" s="35"/>
      <c r="H20" s="63"/>
      <c r="I20" s="2" t="s">
        <v>79</v>
      </c>
      <c r="K20" s="6"/>
      <c r="L20" s="16">
        <f t="shared" ref="L20:M20" si="10">L18+L19</f>
        <v>307.1696</v>
      </c>
      <c r="M20" s="16">
        <f t="shared" si="10"/>
        <v>25.59746667</v>
      </c>
      <c r="N20" s="35"/>
      <c r="O20" s="35"/>
    </row>
    <row r="21" ht="15.75" customHeight="1">
      <c r="A21" s="35"/>
      <c r="B21" s="50" t="s">
        <v>80</v>
      </c>
      <c r="C21" s="51">
        <f t="shared" si="8"/>
        <v>0</v>
      </c>
      <c r="D21" s="52">
        <v>0.1005</v>
      </c>
      <c r="E21" s="53">
        <v>0.0</v>
      </c>
      <c r="F21" s="54">
        <f t="shared" si="6"/>
        <v>0</v>
      </c>
      <c r="G21" s="35" t="s">
        <v>76</v>
      </c>
      <c r="H21" s="63"/>
      <c r="I21" s="26" t="s">
        <v>81</v>
      </c>
      <c r="J21" s="26"/>
      <c r="K21" s="65"/>
      <c r="L21" s="66">
        <f>L20/K17</f>
        <v>0.0714347907</v>
      </c>
      <c r="M21" s="66">
        <f>(M20/K17)*12/1</f>
        <v>0.0714347907</v>
      </c>
      <c r="N21" s="35"/>
      <c r="O21" s="35"/>
    </row>
    <row r="22" ht="15.75" customHeight="1">
      <c r="A22" s="35"/>
      <c r="B22" s="35" t="s">
        <v>67</v>
      </c>
      <c r="C22" s="51">
        <f t="shared" si="8"/>
        <v>0</v>
      </c>
      <c r="D22" s="56">
        <v>0.1025</v>
      </c>
      <c r="E22" s="2">
        <v>0.0</v>
      </c>
      <c r="F22" s="54">
        <f t="shared" si="6"/>
        <v>0</v>
      </c>
      <c r="G22" s="35"/>
      <c r="H22" s="63"/>
      <c r="K22" s="6"/>
      <c r="N22" s="35"/>
      <c r="O22" s="35"/>
    </row>
    <row r="23" ht="15.75" customHeight="1">
      <c r="A23" s="35"/>
      <c r="B23" s="46" t="s">
        <v>70</v>
      </c>
      <c r="C23" s="57">
        <f>SUM(C17:C20)</f>
        <v>1</v>
      </c>
      <c r="D23" s="35"/>
      <c r="E23" s="48">
        <f>SUM(E17:E22)</f>
        <v>3000</v>
      </c>
      <c r="F23" s="67">
        <f>SUM(F17:F21)+F195</f>
        <v>25.7375</v>
      </c>
      <c r="G23" s="35"/>
      <c r="H23" s="63"/>
      <c r="I23" s="42" t="s">
        <v>73</v>
      </c>
      <c r="J23" s="2"/>
      <c r="K23" s="59"/>
      <c r="L23" s="35"/>
      <c r="M23" s="35"/>
      <c r="N23" s="2"/>
      <c r="O23" s="35"/>
    </row>
    <row r="24" ht="15.75" customHeight="1">
      <c r="A24" s="35"/>
      <c r="B24" s="41" t="s">
        <v>71</v>
      </c>
      <c r="C24" s="35"/>
      <c r="D24" s="35"/>
      <c r="E24" s="35"/>
      <c r="F24" s="61">
        <f>(F23/E23)*12/1</f>
        <v>0.10295</v>
      </c>
      <c r="G24" s="35"/>
      <c r="H24" s="63"/>
      <c r="I24" s="35" t="s">
        <v>55</v>
      </c>
      <c r="J24" s="63">
        <f>J16</f>
        <v>0.1025</v>
      </c>
      <c r="K24" s="59">
        <f>E17</f>
        <v>2700</v>
      </c>
      <c r="L24" s="35">
        <f t="shared" ref="L24:L25" si="12">K24*J24</f>
        <v>276.75</v>
      </c>
      <c r="M24" s="35">
        <f t="shared" ref="M24:M25" si="13">L24*1/12</f>
        <v>23.0625</v>
      </c>
      <c r="N24" s="35"/>
      <c r="O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 t="str">
        <f>B18</f>
        <v>Income Multiplier</v>
      </c>
      <c r="J25" s="63">
        <f t="shared" ref="J25:K25" si="11">D18</f>
        <v>0.107</v>
      </c>
      <c r="K25" s="59">
        <f t="shared" si="11"/>
        <v>300</v>
      </c>
      <c r="L25" s="35">
        <f t="shared" si="12"/>
        <v>32.1</v>
      </c>
      <c r="M25" s="35">
        <f t="shared" si="13"/>
        <v>2.675</v>
      </c>
      <c r="N25" s="35"/>
      <c r="O25" s="35"/>
    </row>
    <row r="26" ht="15.75" customHeight="1">
      <c r="A26" s="35"/>
      <c r="B26" s="41" t="s">
        <v>82</v>
      </c>
      <c r="C26" s="25" t="s">
        <v>32</v>
      </c>
      <c r="E26" s="62">
        <v>1000.0</v>
      </c>
      <c r="F26" s="2"/>
      <c r="G26" s="35"/>
      <c r="H26" s="35"/>
      <c r="I26" s="35" t="s">
        <v>75</v>
      </c>
      <c r="J26" s="35"/>
      <c r="K26" s="68">
        <f>K24+K25+K12</f>
        <v>4300</v>
      </c>
      <c r="L26" s="35"/>
      <c r="M26" s="35"/>
      <c r="N26" s="35"/>
      <c r="O26" s="35"/>
    </row>
    <row r="27" ht="15.75" customHeight="1">
      <c r="A27" s="35"/>
      <c r="B27" s="43" t="s">
        <v>74</v>
      </c>
      <c r="C27" s="27">
        <f>E27/E33</f>
        <v>0.6666666667</v>
      </c>
      <c r="D27" s="27">
        <v>0.1025</v>
      </c>
      <c r="E27" s="48">
        <f>D3-E26</f>
        <v>2000</v>
      </c>
      <c r="F27" s="49">
        <f t="shared" ref="F27:F31" si="14">E27*(D27*1/12)</f>
        <v>17.08333333</v>
      </c>
      <c r="G27" s="35" t="s">
        <v>56</v>
      </c>
      <c r="H27" s="35"/>
      <c r="I27" s="35" t="s">
        <v>77</v>
      </c>
      <c r="J27" s="35"/>
      <c r="K27" s="59"/>
      <c r="L27" s="64">
        <f>L24+L25+L12</f>
        <v>439.5</v>
      </c>
      <c r="M27" s="64">
        <f t="shared" ref="M27:M29" si="15">L27*1/12</f>
        <v>36.625</v>
      </c>
      <c r="N27" s="35"/>
      <c r="O27" s="35"/>
    </row>
    <row r="28" ht="15.75" customHeight="1">
      <c r="A28" s="35"/>
      <c r="B28" s="43" t="s">
        <v>58</v>
      </c>
      <c r="C28" s="27">
        <f t="shared" ref="C28:C31" si="16">E28/$D$3</f>
        <v>0.1</v>
      </c>
      <c r="D28" s="27">
        <v>0.107</v>
      </c>
      <c r="E28" s="44">
        <f>E26*0.3</f>
        <v>300</v>
      </c>
      <c r="F28" s="49">
        <f t="shared" si="14"/>
        <v>2.675</v>
      </c>
      <c r="G28" s="35" t="s">
        <v>76</v>
      </c>
      <c r="H28" s="35"/>
      <c r="I28" s="35" t="s">
        <v>78</v>
      </c>
      <c r="J28" s="35"/>
      <c r="K28" s="59"/>
      <c r="L28" s="64">
        <f>L11</f>
        <v>-130.9804</v>
      </c>
      <c r="M28" s="64">
        <f t="shared" si="15"/>
        <v>-10.91503333</v>
      </c>
      <c r="N28" s="35"/>
      <c r="O28" s="35"/>
    </row>
    <row r="29" ht="15.75" customHeight="1">
      <c r="A29" s="35"/>
      <c r="B29" s="43" t="s">
        <v>60</v>
      </c>
      <c r="C29" s="27">
        <f t="shared" si="16"/>
        <v>0</v>
      </c>
      <c r="D29" s="27">
        <v>0.105</v>
      </c>
      <c r="E29" s="44">
        <v>0.0</v>
      </c>
      <c r="F29" s="49">
        <f t="shared" si="14"/>
        <v>0</v>
      </c>
      <c r="G29" s="35"/>
      <c r="H29" s="35"/>
      <c r="I29" s="2" t="s">
        <v>79</v>
      </c>
      <c r="K29" s="6"/>
      <c r="L29" s="16">
        <f>L27+L28</f>
        <v>308.5196</v>
      </c>
      <c r="M29" s="64">
        <f t="shared" si="15"/>
        <v>25.70996667</v>
      </c>
      <c r="N29" s="35"/>
      <c r="O29" s="35"/>
    </row>
    <row r="30" ht="15.75" customHeight="1">
      <c r="A30" s="35"/>
      <c r="B30" s="43" t="s">
        <v>61</v>
      </c>
      <c r="C30" s="27">
        <f t="shared" si="16"/>
        <v>0</v>
      </c>
      <c r="D30" s="27">
        <v>0.1014</v>
      </c>
      <c r="E30" s="44">
        <v>0.0</v>
      </c>
      <c r="F30" s="49">
        <f t="shared" si="14"/>
        <v>0</v>
      </c>
      <c r="G30" s="35"/>
      <c r="H30" s="35"/>
      <c r="I30" s="26" t="s">
        <v>81</v>
      </c>
      <c r="J30" s="26"/>
      <c r="K30" s="65"/>
      <c r="L30" s="66">
        <f>L29/K26</f>
        <v>0.07174874419</v>
      </c>
      <c r="M30" s="66">
        <f>M29/K26*12/1</f>
        <v>0.07174874419</v>
      </c>
      <c r="N30" s="35"/>
      <c r="O30" s="35"/>
    </row>
    <row r="31" ht="15.75" customHeight="1">
      <c r="A31" s="35"/>
      <c r="B31" s="50" t="s">
        <v>80</v>
      </c>
      <c r="C31" s="51">
        <f t="shared" si="16"/>
        <v>0.2333333333</v>
      </c>
      <c r="D31" s="52">
        <v>0.107</v>
      </c>
      <c r="E31" s="53">
        <v>700.0</v>
      </c>
      <c r="F31" s="54">
        <f t="shared" si="14"/>
        <v>6.241666667</v>
      </c>
      <c r="G31" s="35" t="s">
        <v>76</v>
      </c>
      <c r="H31" s="63"/>
      <c r="I31" s="63"/>
      <c r="J31" s="35"/>
      <c r="K31" s="59"/>
      <c r="L31" s="35"/>
      <c r="M31" s="35"/>
      <c r="N31" s="35"/>
      <c r="O31" s="35"/>
    </row>
    <row r="32" ht="15.75" customHeight="1">
      <c r="B32" s="35" t="s">
        <v>67</v>
      </c>
      <c r="C32" s="2"/>
      <c r="D32" s="56">
        <v>0.1025</v>
      </c>
      <c r="E32" s="2"/>
      <c r="F32" s="2"/>
      <c r="G32" s="35"/>
      <c r="I32" s="42" t="s">
        <v>82</v>
      </c>
      <c r="J32" s="2"/>
      <c r="K32" s="59"/>
      <c r="L32" s="35"/>
      <c r="M32" s="35"/>
    </row>
    <row r="33" ht="15.75" customHeight="1">
      <c r="B33" s="46" t="s">
        <v>70</v>
      </c>
      <c r="C33" s="57">
        <f>SUM(C27:C30)</f>
        <v>0.7666666667</v>
      </c>
      <c r="D33" s="35"/>
      <c r="E33" s="48">
        <f>SUM(E27:E31)</f>
        <v>3000</v>
      </c>
      <c r="F33" s="49">
        <f>SUM(F27:F31)+F206</f>
        <v>26</v>
      </c>
      <c r="G33" s="35"/>
      <c r="I33" s="35" t="s">
        <v>55</v>
      </c>
      <c r="J33" s="63">
        <f t="shared" ref="J33:K33" si="17">D27</f>
        <v>0.1025</v>
      </c>
      <c r="K33" s="59">
        <f t="shared" si="17"/>
        <v>2000</v>
      </c>
      <c r="L33" s="35">
        <f t="shared" ref="L33:L35" si="19">K33*J33</f>
        <v>205</v>
      </c>
      <c r="M33" s="64">
        <f t="shared" ref="M33:M36" si="20">L33*1/12</f>
        <v>17.08333333</v>
      </c>
    </row>
    <row r="34" ht="15.75" customHeight="1">
      <c r="B34" s="41" t="s">
        <v>71</v>
      </c>
      <c r="C34" s="35"/>
      <c r="D34" s="35"/>
      <c r="E34" s="35"/>
      <c r="F34" s="61">
        <f>(F33/E33)*12/1</f>
        <v>0.104</v>
      </c>
      <c r="G34" s="35"/>
      <c r="I34" s="35" t="str">
        <f>B28</f>
        <v>Income Multiplier</v>
      </c>
      <c r="J34" s="63">
        <f t="shared" ref="J34:K34" si="18">D28</f>
        <v>0.107</v>
      </c>
      <c r="K34" s="59">
        <f t="shared" si="18"/>
        <v>300</v>
      </c>
      <c r="L34" s="35">
        <f t="shared" si="19"/>
        <v>32.1</v>
      </c>
      <c r="M34" s="64">
        <f t="shared" si="20"/>
        <v>2.675</v>
      </c>
    </row>
    <row r="35" ht="15.75" customHeight="1">
      <c r="B35" s="2" t="s">
        <v>83</v>
      </c>
      <c r="I35" s="35" t="str">
        <f>B31</f>
        <v>AKD Aggressive Income Fund</v>
      </c>
      <c r="J35" s="63">
        <f>D29</f>
        <v>0.105</v>
      </c>
      <c r="K35" s="68">
        <f>E31</f>
        <v>700</v>
      </c>
      <c r="L35" s="35">
        <f t="shared" si="19"/>
        <v>73.5</v>
      </c>
      <c r="M35" s="69">
        <f t="shared" si="20"/>
        <v>6.125</v>
      </c>
    </row>
    <row r="36" ht="15.75" customHeight="1">
      <c r="I36" s="2" t="str">
        <f>I26</f>
        <v>Total Placement (Including COIs)</v>
      </c>
      <c r="K36" s="6">
        <f>K33+K34+K35+K12</f>
        <v>4300</v>
      </c>
      <c r="L36" s="16">
        <f>L35+L34+L33+L12</f>
        <v>441.25</v>
      </c>
      <c r="M36" s="16">
        <f t="shared" si="20"/>
        <v>36.77083333</v>
      </c>
    </row>
    <row r="37" ht="15.75" customHeight="1">
      <c r="B37" s="41" t="s">
        <v>84</v>
      </c>
      <c r="C37" s="25" t="s">
        <v>32</v>
      </c>
      <c r="E37" s="62">
        <v>1000.0</v>
      </c>
      <c r="F37" s="2"/>
      <c r="G37" s="35"/>
    </row>
    <row r="38" ht="15.75" customHeight="1">
      <c r="B38" s="43" t="s">
        <v>74</v>
      </c>
      <c r="C38" s="27">
        <f>E38/E45</f>
        <v>0.652173913</v>
      </c>
      <c r="D38" s="27">
        <v>0.1025</v>
      </c>
      <c r="E38" s="48">
        <f>E13-E37-E44</f>
        <v>1500</v>
      </c>
      <c r="F38" s="49">
        <f t="shared" ref="F38:F43" si="21">E38*(D38*1/12)</f>
        <v>12.8125</v>
      </c>
      <c r="G38" s="35" t="s">
        <v>56</v>
      </c>
      <c r="I38" s="35" t="s">
        <v>77</v>
      </c>
      <c r="J38" s="35"/>
      <c r="K38" s="35"/>
      <c r="L38" s="64">
        <f>L36</f>
        <v>441.25</v>
      </c>
      <c r="M38" s="64">
        <f t="shared" ref="M38:M40" si="22">L38*1/12</f>
        <v>36.77083333</v>
      </c>
    </row>
    <row r="39" ht="15.75" customHeight="1">
      <c r="B39" s="43" t="s">
        <v>58</v>
      </c>
      <c r="C39" s="27">
        <f t="shared" ref="C39:C44" si="23">E39/$D$3</f>
        <v>0.1</v>
      </c>
      <c r="D39" s="27">
        <v>0.107</v>
      </c>
      <c r="E39" s="44">
        <f>E37*0.3</f>
        <v>300</v>
      </c>
      <c r="F39" s="49">
        <f t="shared" si="21"/>
        <v>2.675</v>
      </c>
      <c r="G39" s="35" t="s">
        <v>76</v>
      </c>
      <c r="I39" s="35" t="s">
        <v>78</v>
      </c>
      <c r="J39" s="35"/>
      <c r="K39" s="35"/>
      <c r="L39" s="64">
        <f>L11</f>
        <v>-130.9804</v>
      </c>
      <c r="M39" s="64">
        <f t="shared" si="22"/>
        <v>-10.91503333</v>
      </c>
    </row>
    <row r="40" ht="15.75" customHeight="1">
      <c r="B40" s="43" t="s">
        <v>60</v>
      </c>
      <c r="C40" s="27">
        <f t="shared" si="23"/>
        <v>0</v>
      </c>
      <c r="D40" s="27">
        <v>0.105</v>
      </c>
      <c r="E40" s="44">
        <v>0.0</v>
      </c>
      <c r="F40" s="49">
        <f t="shared" si="21"/>
        <v>0</v>
      </c>
      <c r="G40" s="35"/>
      <c r="I40" s="2" t="s">
        <v>79</v>
      </c>
      <c r="L40" s="16">
        <f>L38+L39</f>
        <v>310.2696</v>
      </c>
      <c r="M40" s="64">
        <f t="shared" si="22"/>
        <v>25.8558</v>
      </c>
    </row>
    <row r="41" ht="15.75" customHeight="1">
      <c r="B41" s="43" t="s">
        <v>61</v>
      </c>
      <c r="C41" s="27">
        <f t="shared" si="23"/>
        <v>0</v>
      </c>
      <c r="D41" s="27">
        <v>0.1014</v>
      </c>
      <c r="E41" s="44">
        <v>0.0</v>
      </c>
      <c r="F41" s="49">
        <f t="shared" si="21"/>
        <v>0</v>
      </c>
      <c r="G41" s="35"/>
      <c r="I41" s="26" t="s">
        <v>81</v>
      </c>
      <c r="J41" s="26"/>
      <c r="K41" s="26"/>
      <c r="L41" s="66">
        <f>L40/K36</f>
        <v>0.07215572093</v>
      </c>
      <c r="M41" s="66">
        <f>M40/K36*12/1</f>
        <v>0.07215572093</v>
      </c>
    </row>
    <row r="42" ht="15.75" customHeight="1">
      <c r="B42" s="50" t="s">
        <v>80</v>
      </c>
      <c r="C42" s="51">
        <f t="shared" si="23"/>
        <v>0</v>
      </c>
      <c r="D42" s="52">
        <v>0.107</v>
      </c>
      <c r="E42" s="53">
        <v>0.0</v>
      </c>
      <c r="F42" s="54">
        <f t="shared" si="21"/>
        <v>0</v>
      </c>
      <c r="G42" s="35" t="s">
        <v>76</v>
      </c>
    </row>
    <row r="43" ht="15.75" customHeight="1">
      <c r="B43" s="35" t="s">
        <v>67</v>
      </c>
      <c r="C43" s="51">
        <f t="shared" si="23"/>
        <v>0</v>
      </c>
      <c r="D43" s="56">
        <v>0.1025</v>
      </c>
      <c r="E43" s="2">
        <v>0.0</v>
      </c>
      <c r="F43" s="54">
        <f t="shared" si="21"/>
        <v>0</v>
      </c>
      <c r="G43" s="35"/>
    </row>
    <row r="44" ht="15.75" customHeight="1">
      <c r="B44" s="43" t="s">
        <v>85</v>
      </c>
      <c r="C44" s="51">
        <f t="shared" si="23"/>
        <v>0.1666666667</v>
      </c>
      <c r="D44" s="63">
        <v>0.1024</v>
      </c>
      <c r="E44" s="44">
        <v>500.0</v>
      </c>
      <c r="F44" s="49">
        <f>E44*D44*3/36</f>
        <v>4.266666667</v>
      </c>
      <c r="G44" s="35">
        <f>30*12*3</f>
        <v>1080</v>
      </c>
      <c r="I44" s="1" t="s">
        <v>86</v>
      </c>
    </row>
    <row r="45" ht="15.75" customHeight="1">
      <c r="B45" s="46" t="s">
        <v>70</v>
      </c>
      <c r="C45" s="57">
        <f>SUM(C38:C41)</f>
        <v>0.752173913</v>
      </c>
      <c r="D45" s="35"/>
      <c r="E45" s="48">
        <f>SUM(E38:E44)</f>
        <v>2300</v>
      </c>
      <c r="F45" s="49">
        <f>SUM(F38:F44)+F218</f>
        <v>19.75416667</v>
      </c>
      <c r="G45" s="35">
        <f>12*3</f>
        <v>36</v>
      </c>
      <c r="I45" s="2" t="s">
        <v>87</v>
      </c>
      <c r="J45" s="2">
        <v>25.0</v>
      </c>
      <c r="K45" s="2">
        <v>50.0</v>
      </c>
      <c r="L45" s="2">
        <v>75.0</v>
      </c>
    </row>
    <row r="46" ht="15.75" customHeight="1">
      <c r="B46" s="41" t="s">
        <v>71</v>
      </c>
      <c r="C46" s="35"/>
      <c r="D46" s="35"/>
      <c r="E46" s="35"/>
      <c r="F46" s="61">
        <f>(F45/E45)*12/1</f>
        <v>0.1030652174</v>
      </c>
      <c r="G46" s="35"/>
      <c r="I46" s="5">
        <v>0.1025</v>
      </c>
      <c r="J46" s="8">
        <v>0.1</v>
      </c>
      <c r="K46" s="5">
        <v>0.0975</v>
      </c>
      <c r="L46" s="5">
        <v>0.095</v>
      </c>
    </row>
    <row r="47" ht="15.75" customHeight="1">
      <c r="B47" s="2" t="s">
        <v>83</v>
      </c>
      <c r="H47" s="2" t="s">
        <v>88</v>
      </c>
      <c r="I47" s="2">
        <f>$I$54/J54</f>
        <v>4761904762</v>
      </c>
    </row>
    <row r="48" ht="15.75" customHeight="1">
      <c r="H48" s="2" t="s">
        <v>58</v>
      </c>
    </row>
    <row r="49" ht="15.75" customHeight="1">
      <c r="H49" s="2" t="s">
        <v>89</v>
      </c>
    </row>
    <row r="50" ht="15.75" customHeight="1"/>
    <row r="51" ht="15.75" customHeight="1"/>
    <row r="52" ht="15.75" customHeight="1">
      <c r="H52" s="2" t="s">
        <v>90</v>
      </c>
      <c r="I52" s="2">
        <v>1.0E9</v>
      </c>
      <c r="J52" s="2" t="s">
        <v>91</v>
      </c>
    </row>
    <row r="53" ht="15.75" customHeight="1">
      <c r="H53" s="2" t="s">
        <v>92</v>
      </c>
    </row>
    <row r="54" ht="15.75" customHeight="1">
      <c r="H54" s="2" t="s">
        <v>88</v>
      </c>
      <c r="I54" s="2">
        <v>5.0E8</v>
      </c>
      <c r="J54" s="5">
        <v>0.105</v>
      </c>
    </row>
    <row r="55" ht="15.75" customHeight="1">
      <c r="H55" s="1" t="s">
        <v>58</v>
      </c>
      <c r="I55" s="2">
        <v>3.0E8</v>
      </c>
      <c r="J55" s="5">
        <v>0.107</v>
      </c>
    </row>
    <row r="56" ht="15.75" customHeight="1">
      <c r="H56" s="2" t="s">
        <v>89</v>
      </c>
      <c r="I56" s="2">
        <v>2.0E8</v>
      </c>
      <c r="J56" s="5">
        <v>0.1025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6:D16"/>
    <mergeCell ref="C26:D26"/>
    <mergeCell ref="C37:D3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20.88"/>
    <col customWidth="1" min="3" max="3" width="26.25"/>
    <col customWidth="1" min="4" max="4" width="24.0"/>
    <col customWidth="1" min="5" max="6" width="27.5"/>
    <col customWidth="1" min="7" max="13" width="20.88"/>
    <col customWidth="1" min="14" max="26" width="12.5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93</v>
      </c>
      <c r="F1" s="1" t="s">
        <v>94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ht="15.75" customHeight="1">
      <c r="A2" s="2" t="s">
        <v>12</v>
      </c>
      <c r="B2" s="3">
        <v>1.999988012E9</v>
      </c>
      <c r="C2" s="4">
        <v>2.05721944977E9</v>
      </c>
      <c r="D2" s="11">
        <f t="shared" ref="D2:E2" si="1">C2</f>
        <v>2057219450</v>
      </c>
      <c r="E2" s="6">
        <f t="shared" si="1"/>
        <v>2057219450</v>
      </c>
      <c r="F2" s="5">
        <f t="shared" ref="F2:F13" si="3">C2/$E$14</f>
        <v>0.2202832264</v>
      </c>
      <c r="G2" s="6">
        <f>D2</f>
        <v>2057219450</v>
      </c>
      <c r="H2" s="5">
        <f t="shared" ref="H2:H13" si="4">E2/$E$14</f>
        <v>0.2202832264</v>
      </c>
      <c r="I2" s="2">
        <v>31.0</v>
      </c>
      <c r="J2" s="2">
        <v>187.0</v>
      </c>
      <c r="K2" s="7">
        <f t="shared" ref="K2:K13" si="5">C2/SUM($E$2:$E$13)*J2</f>
        <v>41.19296333</v>
      </c>
      <c r="L2" s="8">
        <f t="shared" ref="L2:L12" si="6">I2/31</f>
        <v>1</v>
      </c>
      <c r="M2" s="9">
        <f t="shared" ref="M2:M12" si="7">E2*L2</f>
        <v>2057219450</v>
      </c>
      <c r="N2" s="6"/>
    </row>
    <row r="3" ht="15.75" customHeight="1">
      <c r="A3" s="2" t="s">
        <v>13</v>
      </c>
      <c r="B3" s="3">
        <v>4.877455E8</v>
      </c>
      <c r="C3" s="10">
        <f t="shared" ref="C3:E3" si="2">B3</f>
        <v>487745500</v>
      </c>
      <c r="D3" s="11">
        <f t="shared" si="2"/>
        <v>487745500</v>
      </c>
      <c r="E3" s="6">
        <f t="shared" si="2"/>
        <v>487745500</v>
      </c>
      <c r="F3" s="5">
        <f t="shared" si="3"/>
        <v>0.05222687954</v>
      </c>
      <c r="G3" s="6">
        <f t="shared" ref="G3:G4" si="9">E3</f>
        <v>487745500</v>
      </c>
      <c r="H3" s="5">
        <f t="shared" si="4"/>
        <v>0.05222687954</v>
      </c>
      <c r="I3" s="2">
        <v>31.0</v>
      </c>
      <c r="J3" s="2">
        <v>33.0</v>
      </c>
      <c r="K3" s="7">
        <f t="shared" si="5"/>
        <v>1.723487025</v>
      </c>
      <c r="L3" s="8">
        <f t="shared" si="6"/>
        <v>1</v>
      </c>
      <c r="M3" s="9">
        <f t="shared" si="7"/>
        <v>487745500</v>
      </c>
      <c r="N3" s="6"/>
    </row>
    <row r="4" ht="15.75" customHeight="1">
      <c r="A4" s="2" t="s">
        <v>14</v>
      </c>
      <c r="B4" s="3">
        <v>4.741825E8</v>
      </c>
      <c r="C4" s="10">
        <f t="shared" ref="C4:E4" si="8">B4</f>
        <v>474182500</v>
      </c>
      <c r="D4" s="11">
        <f t="shared" si="8"/>
        <v>474182500</v>
      </c>
      <c r="E4" s="6">
        <f t="shared" si="8"/>
        <v>474182500</v>
      </c>
      <c r="F4" s="5">
        <f t="shared" si="3"/>
        <v>0.05077457876</v>
      </c>
      <c r="G4" s="6">
        <f t="shared" si="9"/>
        <v>474182500</v>
      </c>
      <c r="H4" s="5">
        <f t="shared" si="4"/>
        <v>0.05077457876</v>
      </c>
      <c r="I4" s="2">
        <v>31.0</v>
      </c>
      <c r="J4" s="2">
        <v>131.0</v>
      </c>
      <c r="K4" s="7">
        <f t="shared" si="5"/>
        <v>6.651469818</v>
      </c>
      <c r="L4" s="8">
        <f t="shared" si="6"/>
        <v>1</v>
      </c>
      <c r="M4" s="9">
        <f t="shared" si="7"/>
        <v>474182500</v>
      </c>
      <c r="N4" s="6"/>
    </row>
    <row r="5" ht="15.75" customHeight="1">
      <c r="A5" s="2" t="s">
        <v>15</v>
      </c>
      <c r="B5" s="12">
        <v>1.601144278E9</v>
      </c>
      <c r="C5" s="6">
        <v>1.055368872E9</v>
      </c>
      <c r="D5" s="11">
        <f t="shared" ref="D5:D10" si="10">C5</f>
        <v>1055368872</v>
      </c>
      <c r="E5" s="6">
        <f>(D5+D6+D7)-E6</f>
        <v>3000000000</v>
      </c>
      <c r="F5" s="5">
        <f t="shared" si="3"/>
        <v>0.1130069328</v>
      </c>
      <c r="G5" s="6">
        <v>2.0E9</v>
      </c>
      <c r="H5" s="5">
        <f t="shared" si="4"/>
        <v>0.3212344114</v>
      </c>
      <c r="I5" s="2">
        <v>31.0</v>
      </c>
      <c r="J5" s="2">
        <v>0.0</v>
      </c>
      <c r="K5" s="7">
        <f t="shared" si="5"/>
        <v>0</v>
      </c>
      <c r="L5" s="8">
        <f t="shared" si="6"/>
        <v>1</v>
      </c>
      <c r="M5" s="9">
        <f t="shared" si="7"/>
        <v>3000000000</v>
      </c>
      <c r="N5" s="6"/>
    </row>
    <row r="6" ht="15.75" customHeight="1">
      <c r="A6" s="2" t="s">
        <v>16</v>
      </c>
      <c r="B6" s="12">
        <v>1.329131526E9</v>
      </c>
      <c r="C6" s="6">
        <v>1.02815707E9</v>
      </c>
      <c r="D6" s="11">
        <f t="shared" si="10"/>
        <v>1028157070</v>
      </c>
      <c r="E6" s="6">
        <v>8.3525942E7</v>
      </c>
      <c r="F6" s="5">
        <f t="shared" si="3"/>
        <v>0.1100931437</v>
      </c>
      <c r="G6" s="6">
        <f t="shared" ref="G6:G10" si="11">E6</f>
        <v>83525942</v>
      </c>
      <c r="H6" s="5">
        <f t="shared" si="4"/>
        <v>0.008943802272</v>
      </c>
      <c r="I6" s="2">
        <v>31.0</v>
      </c>
      <c r="J6" s="2">
        <v>0.0</v>
      </c>
      <c r="K6" s="7">
        <f t="shared" si="5"/>
        <v>0</v>
      </c>
      <c r="L6" s="8">
        <f t="shared" si="6"/>
        <v>1</v>
      </c>
      <c r="M6" s="9">
        <f t="shared" si="7"/>
        <v>83525942</v>
      </c>
      <c r="N6" s="6"/>
    </row>
    <row r="7" ht="15.75" customHeight="1">
      <c r="A7" s="13" t="s">
        <v>17</v>
      </c>
      <c r="B7" s="14">
        <v>1.0E9</v>
      </c>
      <c r="C7" s="14">
        <v>1.0E9</v>
      </c>
      <c r="D7" s="11">
        <f t="shared" si="10"/>
        <v>1000000000</v>
      </c>
      <c r="E7" s="6">
        <v>0.0</v>
      </c>
      <c r="F7" s="5">
        <f t="shared" si="3"/>
        <v>0.1070781371</v>
      </c>
      <c r="G7" s="6">
        <f t="shared" si="11"/>
        <v>0</v>
      </c>
      <c r="H7" s="5">
        <f t="shared" si="4"/>
        <v>0</v>
      </c>
      <c r="I7" s="2">
        <v>31.0</v>
      </c>
      <c r="J7" s="2">
        <v>0.0</v>
      </c>
      <c r="K7" s="7">
        <f t="shared" si="5"/>
        <v>0</v>
      </c>
      <c r="L7" s="8">
        <f t="shared" si="6"/>
        <v>1</v>
      </c>
      <c r="M7" s="9">
        <f t="shared" si="7"/>
        <v>0</v>
      </c>
      <c r="N7" s="6"/>
    </row>
    <row r="8" ht="15.75" customHeight="1">
      <c r="A8" s="13" t="s">
        <v>18</v>
      </c>
      <c r="B8" s="14">
        <v>1.3E9</v>
      </c>
      <c r="C8" s="14">
        <v>1.3E9</v>
      </c>
      <c r="D8" s="11">
        <f t="shared" si="10"/>
        <v>1300000000</v>
      </c>
      <c r="E8" s="6">
        <f t="shared" ref="E8:E10" si="12">D8</f>
        <v>1300000000</v>
      </c>
      <c r="F8" s="5">
        <f t="shared" si="3"/>
        <v>0.1392015783</v>
      </c>
      <c r="G8" s="6">
        <f t="shared" si="11"/>
        <v>1300000000</v>
      </c>
      <c r="H8" s="5">
        <f t="shared" si="4"/>
        <v>0.1392015783</v>
      </c>
      <c r="I8" s="2">
        <v>31.0</v>
      </c>
      <c r="J8" s="2">
        <v>30.0</v>
      </c>
      <c r="K8" s="7">
        <f t="shared" si="5"/>
        <v>4.176047348</v>
      </c>
      <c r="L8" s="8">
        <f t="shared" si="6"/>
        <v>1</v>
      </c>
      <c r="M8" s="9">
        <f t="shared" si="7"/>
        <v>1300000000</v>
      </c>
      <c r="N8" s="6"/>
    </row>
    <row r="9" ht="15.75" customHeight="1">
      <c r="A9" s="13" t="s">
        <v>19</v>
      </c>
      <c r="B9" s="14">
        <v>8.16606719E8</v>
      </c>
      <c r="C9" s="11">
        <v>8.27108187E8</v>
      </c>
      <c r="D9" s="11">
        <f t="shared" si="10"/>
        <v>827108187</v>
      </c>
      <c r="E9" s="11">
        <f t="shared" si="12"/>
        <v>827108187</v>
      </c>
      <c r="F9" s="5">
        <f t="shared" si="3"/>
        <v>0.08856520387</v>
      </c>
      <c r="G9" s="6">
        <f t="shared" si="11"/>
        <v>827108187</v>
      </c>
      <c r="H9" s="5">
        <f t="shared" si="4"/>
        <v>0.08856520387</v>
      </c>
      <c r="I9" s="2">
        <v>31.0</v>
      </c>
      <c r="J9" s="2">
        <v>0.0</v>
      </c>
      <c r="K9" s="7">
        <f t="shared" si="5"/>
        <v>0</v>
      </c>
      <c r="L9" s="8">
        <f t="shared" si="6"/>
        <v>1</v>
      </c>
      <c r="M9" s="9">
        <f t="shared" si="7"/>
        <v>827108187</v>
      </c>
      <c r="N9" s="6"/>
    </row>
    <row r="10" ht="15.75" customHeight="1">
      <c r="A10" s="15" t="s">
        <v>20</v>
      </c>
      <c r="B10" s="14">
        <v>3.03753987E8</v>
      </c>
      <c r="C10" s="11">
        <v>3.06538002E8</v>
      </c>
      <c r="D10" s="11">
        <f t="shared" si="10"/>
        <v>306538002</v>
      </c>
      <c r="E10" s="11">
        <f t="shared" si="12"/>
        <v>306538002</v>
      </c>
      <c r="F10" s="5">
        <f t="shared" si="3"/>
        <v>0.03282351822</v>
      </c>
      <c r="G10" s="6">
        <f t="shared" si="11"/>
        <v>306538002</v>
      </c>
      <c r="H10" s="5">
        <f t="shared" si="4"/>
        <v>0.03282351822</v>
      </c>
      <c r="I10" s="2">
        <v>31.0</v>
      </c>
      <c r="J10" s="2">
        <v>0.0</v>
      </c>
      <c r="K10" s="7">
        <f t="shared" si="5"/>
        <v>0</v>
      </c>
      <c r="L10" s="8">
        <f t="shared" si="6"/>
        <v>1</v>
      </c>
      <c r="M10" s="9">
        <f t="shared" si="7"/>
        <v>306538002</v>
      </c>
      <c r="N10" s="6"/>
    </row>
    <row r="11" ht="15.75" customHeight="1">
      <c r="A11" s="15" t="s">
        <v>21</v>
      </c>
      <c r="B11" s="11">
        <v>5.0E8</v>
      </c>
      <c r="C11" s="6"/>
      <c r="D11" s="11"/>
      <c r="E11" s="11">
        <v>0.0</v>
      </c>
      <c r="F11" s="5">
        <f t="shared" si="3"/>
        <v>0</v>
      </c>
      <c r="G11" s="6">
        <f>D24*0.3</f>
        <v>300000000</v>
      </c>
      <c r="H11" s="5">
        <f t="shared" si="4"/>
        <v>0</v>
      </c>
      <c r="I11" s="2">
        <v>31.0</v>
      </c>
      <c r="J11" s="2">
        <v>0.0</v>
      </c>
      <c r="K11" s="7">
        <f t="shared" si="5"/>
        <v>0</v>
      </c>
      <c r="L11" s="8">
        <f t="shared" si="6"/>
        <v>1</v>
      </c>
      <c r="M11" s="9">
        <f t="shared" si="7"/>
        <v>0</v>
      </c>
      <c r="N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 t="s">
        <v>22</v>
      </c>
      <c r="B12" s="6">
        <v>8.0E8</v>
      </c>
      <c r="C12" s="11">
        <v>8.02654992E8</v>
      </c>
      <c r="D12" s="11">
        <f t="shared" ref="D12:E12" si="13">C12</f>
        <v>802654992</v>
      </c>
      <c r="E12" s="11">
        <f t="shared" si="13"/>
        <v>802654992</v>
      </c>
      <c r="F12" s="5">
        <f t="shared" si="3"/>
        <v>0.08594680131</v>
      </c>
      <c r="G12" s="6">
        <f>E12</f>
        <v>802654992</v>
      </c>
      <c r="H12" s="5">
        <f t="shared" si="4"/>
        <v>0.08594680131</v>
      </c>
      <c r="I12" s="2">
        <v>31.0</v>
      </c>
      <c r="J12" s="2">
        <v>0.0</v>
      </c>
      <c r="K12" s="7">
        <f t="shared" si="5"/>
        <v>0</v>
      </c>
      <c r="L12" s="8">
        <f t="shared" si="6"/>
        <v>1</v>
      </c>
      <c r="M12" s="9">
        <f t="shared" si="7"/>
        <v>802654992</v>
      </c>
      <c r="N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 t="s">
        <v>95</v>
      </c>
      <c r="B13" s="6"/>
      <c r="C13" s="6"/>
      <c r="D13" s="6"/>
      <c r="E13" s="6">
        <v>0.0</v>
      </c>
      <c r="F13" s="5">
        <f t="shared" si="3"/>
        <v>0</v>
      </c>
      <c r="G13" s="70">
        <f>D24*0.7</f>
        <v>700000000</v>
      </c>
      <c r="H13" s="5">
        <f t="shared" si="4"/>
        <v>0</v>
      </c>
      <c r="I13" s="2">
        <v>31.0</v>
      </c>
      <c r="J13" s="16">
        <v>0.0</v>
      </c>
      <c r="K13" s="7">
        <f t="shared" si="5"/>
        <v>0</v>
      </c>
      <c r="L13" s="5"/>
      <c r="M13" s="2"/>
      <c r="N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7" t="s">
        <v>23</v>
      </c>
      <c r="B14" s="18"/>
      <c r="C14" s="18">
        <f t="shared" ref="C14:F14" si="14">SUM(C2:C12)</f>
        <v>9338974573</v>
      </c>
      <c r="D14" s="18">
        <f t="shared" si="14"/>
        <v>9338974573</v>
      </c>
      <c r="E14" s="18">
        <f t="shared" si="14"/>
        <v>9338974573</v>
      </c>
      <c r="F14" s="20">
        <f t="shared" si="14"/>
        <v>1</v>
      </c>
      <c r="G14" s="18">
        <f>SUM(G2:G13)</f>
        <v>9338974573</v>
      </c>
      <c r="H14" s="20">
        <f>SUM(H2:H12)</f>
        <v>1</v>
      </c>
      <c r="I14" s="18"/>
      <c r="J14" s="21"/>
      <c r="K14" s="22">
        <f>SUM(K2:K12)</f>
        <v>53.74396752</v>
      </c>
      <c r="L14" s="5"/>
      <c r="M14" s="23">
        <f>SUM(M2:M12)</f>
        <v>9338974573</v>
      </c>
      <c r="N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E15" s="6">
        <f>E14-D14</f>
        <v>0</v>
      </c>
    </row>
    <row r="16" ht="15.75" customHeight="1">
      <c r="B16" s="1"/>
      <c r="C16" s="71">
        <f>C2-B2</f>
        <v>57231437.77</v>
      </c>
      <c r="D16" s="71">
        <f>SUM(D2:D4)</f>
        <v>3019147450</v>
      </c>
    </row>
    <row r="17" ht="15.75" customHeight="1">
      <c r="B17" s="2" t="s">
        <v>24</v>
      </c>
      <c r="C17" s="5"/>
      <c r="D17" s="5"/>
      <c r="J17" s="24"/>
    </row>
    <row r="18" ht="15.75" customHeight="1">
      <c r="B18" s="5">
        <f>10.63%-C18</f>
        <v>0.1058</v>
      </c>
      <c r="C18" s="5">
        <v>5.0E-4</v>
      </c>
      <c r="D18" s="5"/>
      <c r="E18" s="5"/>
      <c r="F18" s="5"/>
      <c r="G18" s="5"/>
      <c r="H18" s="5"/>
      <c r="I18" s="5"/>
      <c r="J18" s="5"/>
      <c r="K18" s="2">
        <v>1300.0</v>
      </c>
      <c r="L18" s="8">
        <v>0.1005</v>
      </c>
      <c r="M18" s="2">
        <f t="shared" ref="M18:M20" si="15">L18*K18</f>
        <v>130.65</v>
      </c>
    </row>
    <row r="19" ht="15.75" customHeight="1">
      <c r="D19" s="5"/>
      <c r="E19" s="5"/>
      <c r="F19" s="5"/>
      <c r="G19" s="5"/>
      <c r="H19" s="5"/>
      <c r="I19" s="5"/>
      <c r="J19" s="5"/>
      <c r="K19" s="2">
        <v>1238.0</v>
      </c>
      <c r="L19" s="5">
        <v>0.1075</v>
      </c>
      <c r="M19" s="2">
        <f t="shared" si="15"/>
        <v>133.085</v>
      </c>
    </row>
    <row r="20" ht="15.75" customHeight="1">
      <c r="B20" s="25"/>
      <c r="C20" s="23" t="s">
        <v>25</v>
      </c>
      <c r="D20" s="6">
        <f>D5+D6+D7</f>
        <v>3083525942</v>
      </c>
      <c r="E20" s="2"/>
      <c r="F20" s="2"/>
      <c r="G20" s="2"/>
      <c r="H20" s="2"/>
      <c r="I20" s="2" t="s">
        <v>26</v>
      </c>
      <c r="J20" s="5"/>
      <c r="K20" s="2">
        <v>1238.0</v>
      </c>
      <c r="L20" s="5">
        <f>B18</f>
        <v>0.1058</v>
      </c>
      <c r="M20" s="2">
        <f t="shared" si="15"/>
        <v>130.9804</v>
      </c>
    </row>
    <row r="21" ht="15.75" customHeight="1">
      <c r="B21" s="5"/>
      <c r="C21" s="2" t="s">
        <v>27</v>
      </c>
      <c r="D21" s="6">
        <f>D20-D22</f>
        <v>83525942</v>
      </c>
      <c r="E21" s="26" t="s">
        <v>28</v>
      </c>
      <c r="L21" s="5">
        <f>L19-L20</f>
        <v>0.0017</v>
      </c>
      <c r="M21" s="23">
        <f>M18+M19-M20</f>
        <v>132.7546</v>
      </c>
    </row>
    <row r="22" ht="15.75" customHeight="1">
      <c r="B22" s="25" t="s">
        <v>29</v>
      </c>
      <c r="C22" s="2" t="s">
        <v>30</v>
      </c>
      <c r="D22" s="2">
        <v>3.0E9</v>
      </c>
      <c r="E22" s="5"/>
      <c r="F22" s="5"/>
      <c r="G22" s="5"/>
      <c r="H22" s="5"/>
      <c r="I22" s="5"/>
      <c r="J22" s="5"/>
      <c r="M22" s="5">
        <f>M21/K18</f>
        <v>0.1021189231</v>
      </c>
    </row>
    <row r="23" ht="15.75" customHeight="1">
      <c r="B23" s="5"/>
      <c r="C23" s="2" t="s">
        <v>31</v>
      </c>
      <c r="D23" s="2">
        <v>2.0E9</v>
      </c>
      <c r="E23" s="27"/>
      <c r="F23" s="27"/>
      <c r="G23" s="27"/>
      <c r="I23" s="5"/>
      <c r="J23" s="5"/>
      <c r="L23" s="13"/>
      <c r="M23" s="5">
        <f>M22-10.38%</f>
        <v>-0.001681076923</v>
      </c>
    </row>
    <row r="24" ht="15.75" customHeight="1">
      <c r="B24" s="5"/>
      <c r="C24" s="26" t="s">
        <v>32</v>
      </c>
      <c r="D24" s="28">
        <f>D22-D23</f>
        <v>1000000000</v>
      </c>
      <c r="E24" s="27"/>
      <c r="F24" s="27"/>
      <c r="G24" s="27"/>
      <c r="L24" s="15"/>
      <c r="M24" s="5"/>
    </row>
    <row r="25" ht="15.75" customHeight="1">
      <c r="A25" s="5"/>
      <c r="B25" s="5"/>
      <c r="D25" s="2"/>
      <c r="E25" s="27"/>
      <c r="F25" s="27"/>
      <c r="G25" s="27"/>
      <c r="L25" s="15"/>
      <c r="M25" s="5"/>
    </row>
    <row r="26" ht="15.75" customHeight="1">
      <c r="A26" s="5"/>
      <c r="B26" s="5"/>
      <c r="D26" s="25" t="s">
        <v>33</v>
      </c>
      <c r="E26" s="27"/>
      <c r="F26" s="27"/>
      <c r="G26" s="27"/>
      <c r="L26" s="15"/>
      <c r="M26" s="5"/>
    </row>
    <row r="27" ht="15.75" customHeight="1">
      <c r="A27" s="1" t="s">
        <v>34</v>
      </c>
      <c r="B27" s="2" t="s">
        <v>35</v>
      </c>
      <c r="C27" s="29">
        <f>G9+G10</f>
        <v>1133646189</v>
      </c>
      <c r="D27" s="27">
        <f>C27/G14</f>
        <v>0.1213887221</v>
      </c>
      <c r="E27" s="27"/>
      <c r="F27" s="27"/>
      <c r="G27" s="27"/>
      <c r="I27" s="30" t="s">
        <v>36</v>
      </c>
      <c r="J27" s="30" t="s">
        <v>37</v>
      </c>
      <c r="K27" s="30" t="s">
        <v>38</v>
      </c>
      <c r="L27" s="30" t="s">
        <v>39</v>
      </c>
      <c r="M27" s="30" t="s">
        <v>40</v>
      </c>
      <c r="N27" s="30" t="s">
        <v>41</v>
      </c>
      <c r="O27" s="30" t="s">
        <v>42</v>
      </c>
    </row>
    <row r="28" ht="15.75" customHeight="1">
      <c r="A28" s="25"/>
      <c r="B28" s="2" t="s">
        <v>43</v>
      </c>
      <c r="C28" s="6">
        <f>C27+G11</f>
        <v>1433646189</v>
      </c>
      <c r="D28" s="31">
        <f>C28/G14</f>
        <v>0.1535121632</v>
      </c>
      <c r="E28" s="31"/>
      <c r="F28" s="31"/>
      <c r="G28" s="31"/>
      <c r="I28" s="32">
        <v>13066.0</v>
      </c>
      <c r="J28" s="32">
        <v>16694.0</v>
      </c>
      <c r="K28" s="32">
        <v>24891.0</v>
      </c>
      <c r="L28" s="32">
        <v>52779.0</v>
      </c>
      <c r="M28" s="32">
        <v>37386.0</v>
      </c>
      <c r="N28" s="32">
        <v>48905.0</v>
      </c>
      <c r="O28" s="33">
        <v>5167.0</v>
      </c>
    </row>
    <row r="29" ht="15.75" customHeight="1">
      <c r="B29" s="34"/>
      <c r="C29" s="35"/>
      <c r="D29" s="36"/>
      <c r="E29" s="37"/>
      <c r="F29" s="37"/>
      <c r="G29" s="37"/>
      <c r="I29" s="38">
        <v>83.0</v>
      </c>
      <c r="J29" s="38">
        <v>104.0</v>
      </c>
      <c r="K29" s="38">
        <v>140.0</v>
      </c>
      <c r="L29" s="38">
        <v>213.0</v>
      </c>
      <c r="M29" s="38">
        <v>132.0</v>
      </c>
      <c r="N29" s="38">
        <v>175.0</v>
      </c>
      <c r="O29" s="39">
        <v>18.0</v>
      </c>
    </row>
    <row r="30" ht="15.75" customHeight="1">
      <c r="D30" s="40"/>
      <c r="E30" s="38"/>
      <c r="F30" s="38"/>
      <c r="G30" s="38"/>
      <c r="H30" s="38"/>
      <c r="I30" s="38">
        <v>158.0</v>
      </c>
      <c r="J30" s="38">
        <v>160.0</v>
      </c>
      <c r="K30" s="38">
        <v>177.0</v>
      </c>
      <c r="L30" s="38">
        <v>248.0</v>
      </c>
      <c r="M30" s="38">
        <v>283.0</v>
      </c>
      <c r="N30" s="38">
        <v>279.0</v>
      </c>
      <c r="O30" s="39">
        <v>282.0</v>
      </c>
    </row>
    <row r="31" ht="15.75" customHeight="1">
      <c r="B31" s="2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A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3.75"/>
    <col customWidth="1" min="3" max="3" width="18.13"/>
    <col customWidth="1" min="4" max="4" width="21.13"/>
    <col customWidth="1" min="5" max="5" width="14.75"/>
    <col customWidth="1" min="6" max="6" width="18.5"/>
    <col customWidth="1" min="7" max="7" width="23.5"/>
    <col customWidth="1" min="8" max="8" width="33.88"/>
    <col customWidth="1" min="9" max="9" width="12.5"/>
    <col customWidth="1" min="10" max="11" width="39.5"/>
    <col customWidth="1" min="12" max="12" width="25.5"/>
    <col customWidth="1" min="13" max="13" width="23.88"/>
    <col customWidth="1" min="14" max="14" width="12.5"/>
    <col customWidth="1" min="15" max="15" width="11.25"/>
    <col customWidth="1" min="16" max="27" width="12.5"/>
  </cols>
  <sheetData>
    <row r="1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5"/>
      <c r="B2" s="42" t="s">
        <v>96</v>
      </c>
      <c r="C2" s="72">
        <f>C3+90</f>
        <v>46199</v>
      </c>
      <c r="D2" s="35"/>
      <c r="E2" s="35"/>
      <c r="F2" s="35"/>
      <c r="G2" s="35"/>
      <c r="H2" s="35"/>
      <c r="I2" s="35"/>
      <c r="J2" s="35"/>
      <c r="K2" s="35"/>
      <c r="L2" s="42"/>
      <c r="M2" s="35"/>
      <c r="N2" s="35"/>
      <c r="O2" s="35"/>
      <c r="P2" s="35"/>
      <c r="Q2" s="35"/>
      <c r="R2" s="35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5"/>
      <c r="B3" s="35" t="s">
        <v>97</v>
      </c>
      <c r="C3" s="72">
        <f>TODAY()</f>
        <v>46109</v>
      </c>
      <c r="D3" s="45"/>
      <c r="E3" s="2"/>
      <c r="F3" s="2"/>
      <c r="G3" s="35"/>
      <c r="H3" s="35"/>
      <c r="I3" s="35"/>
      <c r="J3" s="47"/>
      <c r="K3" s="47" t="str">
        <f>B9</f>
        <v>NIT Income Fund</v>
      </c>
      <c r="L3" s="35"/>
      <c r="M3" s="45"/>
      <c r="N3" s="35"/>
      <c r="O3" s="35"/>
      <c r="P3" s="35"/>
      <c r="Q3" s="35"/>
      <c r="R3" s="35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35"/>
      <c r="B4" s="35" t="s">
        <v>45</v>
      </c>
      <c r="C4" s="35">
        <v>3000.0</v>
      </c>
      <c r="D4" s="45"/>
      <c r="E4" s="35"/>
      <c r="F4" s="35"/>
      <c r="G4" s="35"/>
      <c r="H4" s="35"/>
      <c r="I4" s="35"/>
      <c r="J4" s="73"/>
      <c r="K4" s="73" t="s">
        <v>98</v>
      </c>
      <c r="L4" s="74" t="s">
        <v>99</v>
      </c>
      <c r="M4" s="74" t="s">
        <v>100</v>
      </c>
      <c r="N4" s="74" t="s">
        <v>101</v>
      </c>
      <c r="O4" s="74" t="s">
        <v>102</v>
      </c>
      <c r="P4" s="35"/>
      <c r="Q4" s="35"/>
      <c r="R4" s="35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5"/>
      <c r="B5" s="42"/>
      <c r="C5" s="35"/>
      <c r="D5" s="35"/>
      <c r="E5" s="35"/>
      <c r="F5" s="35"/>
      <c r="G5" s="35"/>
      <c r="H5" s="35"/>
      <c r="I5" s="35"/>
      <c r="J5" s="2"/>
      <c r="K5" s="2" t="s">
        <v>103</v>
      </c>
      <c r="L5" s="5">
        <v>0.0988</v>
      </c>
      <c r="M5" s="6">
        <v>2.421972E8</v>
      </c>
      <c r="N5" s="5">
        <v>0.1</v>
      </c>
      <c r="O5" s="2">
        <v>118.0</v>
      </c>
      <c r="P5" s="35"/>
      <c r="Q5" s="35"/>
      <c r="R5" s="35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/>
      <c r="B6" s="47" t="s">
        <v>49</v>
      </c>
      <c r="C6" s="47" t="s">
        <v>50</v>
      </c>
      <c r="D6" s="47" t="s">
        <v>51</v>
      </c>
      <c r="E6" s="1" t="s">
        <v>104</v>
      </c>
      <c r="F6" s="47" t="s">
        <v>52</v>
      </c>
      <c r="G6" s="47" t="s">
        <v>105</v>
      </c>
      <c r="J6" s="2"/>
      <c r="K6" s="2" t="s">
        <v>106</v>
      </c>
      <c r="L6" s="5">
        <v>0.0769</v>
      </c>
      <c r="M6" s="6">
        <v>1.883103E8</v>
      </c>
      <c r="N6" s="5">
        <v>0.0998</v>
      </c>
      <c r="O6" s="2">
        <v>460.0</v>
      </c>
      <c r="P6" s="2"/>
      <c r="Q6" s="2"/>
      <c r="R6" s="35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35"/>
      <c r="B7" s="35" t="s">
        <v>55</v>
      </c>
      <c r="C7" s="37">
        <f t="shared" ref="C7:C12" si="1">F7/$F$13</f>
        <v>0</v>
      </c>
      <c r="D7" s="37">
        <v>0.102</v>
      </c>
      <c r="E7" s="2">
        <v>0.0</v>
      </c>
      <c r="F7" s="75">
        <v>0.0</v>
      </c>
      <c r="G7" s="75">
        <f>F7*(D7*($C$2-$C$3)/365)</f>
        <v>0</v>
      </c>
      <c r="J7" s="2"/>
      <c r="K7" s="2" t="s">
        <v>107</v>
      </c>
      <c r="L7" s="5">
        <v>0.4285</v>
      </c>
      <c r="M7" s="6">
        <v>1.049894942E9</v>
      </c>
      <c r="N7" s="5">
        <v>0.1231</v>
      </c>
      <c r="O7" s="2">
        <v>839.0</v>
      </c>
      <c r="P7" s="2"/>
      <c r="Q7" s="2"/>
      <c r="R7" s="35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76" t="s">
        <v>108</v>
      </c>
      <c r="B8" s="77" t="s">
        <v>109</v>
      </c>
      <c r="C8" s="78">
        <f t="shared" si="1"/>
        <v>0.2173913043</v>
      </c>
      <c r="D8" s="78">
        <v>0.1075</v>
      </c>
      <c r="E8" s="79">
        <v>45.0</v>
      </c>
      <c r="F8" s="80">
        <v>500.0</v>
      </c>
      <c r="G8" s="80">
        <f>F8*(D8*(90/365))</f>
        <v>13.25342466</v>
      </c>
      <c r="J8" s="2"/>
      <c r="K8" s="2" t="s">
        <v>110</v>
      </c>
      <c r="L8" s="5">
        <v>0.0197</v>
      </c>
      <c r="M8" s="6">
        <v>4.8264706E7</v>
      </c>
      <c r="N8" s="5">
        <v>0.1183</v>
      </c>
      <c r="O8" s="2">
        <v>50.0</v>
      </c>
      <c r="P8" s="2"/>
      <c r="Q8" s="2"/>
      <c r="R8" s="35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81" t="s">
        <v>108</v>
      </c>
      <c r="B9" s="81" t="s">
        <v>111</v>
      </c>
      <c r="C9" s="82">
        <f t="shared" si="1"/>
        <v>0.347826087</v>
      </c>
      <c r="D9" s="82">
        <v>0.1094</v>
      </c>
      <c r="E9" s="83">
        <v>382.0</v>
      </c>
      <c r="F9" s="84">
        <v>800.0</v>
      </c>
      <c r="G9" s="84">
        <f t="shared" ref="G9:G12" si="2">F9*(D9*($C$2-$C$3)/365)</f>
        <v>21.58027397</v>
      </c>
      <c r="J9" s="2"/>
      <c r="K9" s="2" t="s">
        <v>112</v>
      </c>
      <c r="L9" s="5">
        <v>0.3601</v>
      </c>
      <c r="M9" s="16">
        <v>8.82362185E8</v>
      </c>
      <c r="N9" s="5">
        <v>0.112</v>
      </c>
      <c r="O9" s="2">
        <v>1.0</v>
      </c>
      <c r="P9" s="2"/>
      <c r="Q9" s="2"/>
      <c r="R9" s="35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35"/>
      <c r="B10" s="35" t="s">
        <v>113</v>
      </c>
      <c r="C10" s="37">
        <f t="shared" si="1"/>
        <v>0</v>
      </c>
      <c r="D10" s="37">
        <v>0.1029</v>
      </c>
      <c r="E10" s="16">
        <v>180.0</v>
      </c>
      <c r="F10" s="75">
        <v>0.0</v>
      </c>
      <c r="G10" s="75">
        <f t="shared" si="2"/>
        <v>0</v>
      </c>
      <c r="I10" s="63">
        <f>I20/F20</f>
        <v>0</v>
      </c>
      <c r="J10" s="85">
        <f>H20/F20</f>
        <v>0.02415205479</v>
      </c>
      <c r="K10" s="2" t="s">
        <v>114</v>
      </c>
      <c r="L10" s="5">
        <v>0.016</v>
      </c>
      <c r="M10" s="16">
        <v>3.9234284E7</v>
      </c>
      <c r="N10" s="5">
        <v>0.0</v>
      </c>
      <c r="O10" s="2"/>
      <c r="P10" s="2"/>
      <c r="Q10" s="2"/>
      <c r="R10" s="35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35"/>
      <c r="B11" s="35" t="s">
        <v>115</v>
      </c>
      <c r="C11" s="37">
        <f t="shared" si="1"/>
        <v>0.2173913043</v>
      </c>
      <c r="D11" s="37">
        <v>0.1037</v>
      </c>
      <c r="E11" s="64">
        <v>270.0</v>
      </c>
      <c r="F11" s="75">
        <v>500.0</v>
      </c>
      <c r="G11" s="75">
        <f t="shared" si="2"/>
        <v>12.78493151</v>
      </c>
      <c r="I11" s="5">
        <f t="shared" ref="I11:J11" si="3">I10*365/180</f>
        <v>0</v>
      </c>
      <c r="J11" s="5">
        <f t="shared" si="3"/>
        <v>0.048975</v>
      </c>
      <c r="K11" s="86"/>
      <c r="L11" s="87">
        <f t="shared" ref="L11:M11" si="4">SUM(L5:L10)</f>
        <v>1</v>
      </c>
      <c r="M11" s="88">
        <f t="shared" si="4"/>
        <v>2450263617</v>
      </c>
      <c r="N11" s="87">
        <v>0.113</v>
      </c>
      <c r="O11" s="89">
        <f>SUM(O5:O10)</f>
        <v>1468</v>
      </c>
      <c r="P11" s="2"/>
      <c r="Q11" s="2"/>
      <c r="R11" s="35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35"/>
      <c r="B12" s="35" t="s">
        <v>116</v>
      </c>
      <c r="C12" s="37">
        <f t="shared" si="1"/>
        <v>0.2173913043</v>
      </c>
      <c r="D12" s="37">
        <v>0.1035</v>
      </c>
      <c r="E12" s="16">
        <v>365.0</v>
      </c>
      <c r="F12" s="75">
        <v>500.0</v>
      </c>
      <c r="G12" s="75">
        <f t="shared" si="2"/>
        <v>12.76027397</v>
      </c>
      <c r="J12" s="35"/>
      <c r="K12" s="35"/>
      <c r="L12" s="35"/>
      <c r="M12" s="2"/>
      <c r="N12" s="2"/>
      <c r="O12" s="2"/>
      <c r="P12" s="2"/>
      <c r="Q12" s="2"/>
      <c r="R12" s="35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35"/>
      <c r="B13" s="35" t="s">
        <v>70</v>
      </c>
      <c r="C13" s="90">
        <f>SUM(C7:C12)</f>
        <v>1</v>
      </c>
      <c r="D13" s="91"/>
      <c r="E13" s="91"/>
      <c r="F13" s="92">
        <f>SUM(F7:F12)</f>
        <v>2300</v>
      </c>
      <c r="G13" s="92">
        <f>SUM(G7:G12)+F171</f>
        <v>60.37890411</v>
      </c>
      <c r="J13" s="35"/>
      <c r="K13" s="35"/>
      <c r="L13" s="35"/>
      <c r="M13" s="2"/>
      <c r="N13" s="2"/>
      <c r="O13" s="2"/>
      <c r="P13" s="2"/>
      <c r="Q13" s="2"/>
      <c r="R13" s="35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35"/>
      <c r="G14" s="35"/>
      <c r="H14" s="2"/>
      <c r="I14" s="35"/>
      <c r="J14" s="2">
        <f>H20/F20</f>
        <v>0.02415205479</v>
      </c>
      <c r="K14" s="47" t="str">
        <f>B8</f>
        <v>Alfalah Income Multiplier Fund </v>
      </c>
      <c r="L14" s="35"/>
      <c r="M14" s="35"/>
      <c r="N14" s="59"/>
      <c r="O14" s="35"/>
      <c r="P14" s="35"/>
      <c r="Q14" s="35"/>
      <c r="R14" s="35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35"/>
      <c r="F15" s="23">
        <f>F8+F11+F12</f>
        <v>1500</v>
      </c>
      <c r="G15" s="35"/>
      <c r="H15" s="2"/>
      <c r="I15" s="35"/>
      <c r="J15" s="93">
        <f>J14*365/180</f>
        <v>0.048975</v>
      </c>
      <c r="K15" s="94" t="s">
        <v>117</v>
      </c>
      <c r="L15" s="95">
        <v>46042.0</v>
      </c>
      <c r="M15" s="96"/>
      <c r="N15" s="97"/>
      <c r="O15" s="96"/>
      <c r="P15" s="96"/>
      <c r="Q15" s="96"/>
      <c r="R15" s="96"/>
      <c r="S15" s="96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35"/>
      <c r="B16" s="42" t="s">
        <v>71</v>
      </c>
      <c r="C16" s="35"/>
      <c r="D16" s="61">
        <f>(G13/F13)*365/($C$2-$C$3)</f>
        <v>0.1064652174</v>
      </c>
      <c r="E16" s="35"/>
      <c r="G16" s="35"/>
      <c r="H16" s="2"/>
      <c r="I16" s="35"/>
      <c r="J16" s="15"/>
      <c r="K16" s="98" t="s">
        <v>118</v>
      </c>
      <c r="L16" s="99">
        <v>0.0</v>
      </c>
      <c r="M16" s="96"/>
      <c r="N16" s="97"/>
      <c r="O16" s="100"/>
      <c r="P16" s="100"/>
      <c r="Q16" s="96"/>
      <c r="R16" s="96"/>
      <c r="S16" s="96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35"/>
      <c r="B17" s="1" t="s">
        <v>119</v>
      </c>
      <c r="C17" s="2"/>
      <c r="D17" s="5">
        <f>10.5%-1%</f>
        <v>0.095</v>
      </c>
      <c r="E17" s="2"/>
      <c r="G17" s="35"/>
      <c r="H17" s="35"/>
      <c r="I17" s="35"/>
      <c r="J17" s="15"/>
      <c r="K17" s="101" t="s">
        <v>120</v>
      </c>
      <c r="L17" s="102">
        <v>0.0707</v>
      </c>
      <c r="M17" s="96"/>
      <c r="N17" s="97"/>
      <c r="O17" s="96"/>
      <c r="P17" s="96"/>
      <c r="Q17" s="96"/>
      <c r="R17" s="96"/>
      <c r="S17" s="96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35"/>
      <c r="B18" s="1" t="s">
        <v>121</v>
      </c>
      <c r="C18" s="2"/>
      <c r="D18" s="20">
        <f>D16-D17</f>
        <v>0.01146521739</v>
      </c>
      <c r="E18" s="2"/>
      <c r="G18" s="35"/>
      <c r="H18" s="35"/>
      <c r="I18" s="35"/>
      <c r="J18" s="15"/>
      <c r="K18" s="103" t="s">
        <v>122</v>
      </c>
      <c r="L18" s="104">
        <v>0.1633</v>
      </c>
      <c r="M18" s="96"/>
      <c r="N18" s="97"/>
      <c r="O18" s="96"/>
      <c r="P18" s="96"/>
      <c r="Q18" s="96"/>
      <c r="R18" s="96"/>
      <c r="S18" s="96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35"/>
      <c r="B19" s="2"/>
      <c r="C19" s="2"/>
      <c r="D19" s="2"/>
      <c r="E19" s="2"/>
      <c r="F19" s="35"/>
      <c r="G19" s="35" t="s">
        <v>123</v>
      </c>
      <c r="H19" s="105">
        <v>0.25</v>
      </c>
      <c r="I19" s="106"/>
      <c r="K19" s="101" t="s">
        <v>124</v>
      </c>
      <c r="L19" s="102">
        <v>0.0099</v>
      </c>
      <c r="M19" s="96"/>
      <c r="N19" s="97"/>
      <c r="O19" s="96"/>
      <c r="P19" s="96"/>
      <c r="Q19" s="96"/>
      <c r="R19" s="96"/>
      <c r="S19" s="96"/>
      <c r="T19" s="2"/>
      <c r="U19" s="2"/>
      <c r="V19" s="2"/>
      <c r="W19" s="2"/>
      <c r="X19" s="2"/>
      <c r="Y19" s="2"/>
      <c r="Z19" s="2"/>
      <c r="AA19" s="2"/>
    </row>
    <row r="20" ht="15.75" customHeight="1">
      <c r="B20" s="1" t="s">
        <v>125</v>
      </c>
      <c r="D20" s="5">
        <f>10.56%+2.5%</f>
        <v>0.1306</v>
      </c>
      <c r="E20" s="1">
        <v>180.0</v>
      </c>
      <c r="F20" s="1">
        <v>275.0</v>
      </c>
      <c r="G20" s="75">
        <f>F20*((D20/365)*90)</f>
        <v>8.855753425</v>
      </c>
      <c r="H20" s="107">
        <f>G20-(G20*H19)</f>
        <v>6.641815068</v>
      </c>
      <c r="I20" s="35"/>
      <c r="K20" s="103" t="s">
        <v>126</v>
      </c>
      <c r="L20" s="104">
        <v>0.015</v>
      </c>
      <c r="M20" s="96"/>
      <c r="N20" s="97"/>
      <c r="O20" s="96"/>
      <c r="P20" s="96"/>
      <c r="Q20" s="96"/>
      <c r="R20" s="96"/>
      <c r="S20" s="96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35"/>
      <c r="G21" s="5"/>
      <c r="H21" s="35"/>
      <c r="I21" s="35"/>
      <c r="K21" s="101" t="s">
        <v>127</v>
      </c>
      <c r="L21" s="102">
        <v>0.1889</v>
      </c>
      <c r="M21" s="96"/>
      <c r="N21" s="97"/>
      <c r="O21" s="108"/>
      <c r="P21" s="108"/>
      <c r="Q21" s="96"/>
      <c r="R21" s="96"/>
      <c r="S21" s="96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35"/>
      <c r="D22" s="5">
        <v>0.1025</v>
      </c>
      <c r="E22" s="2">
        <v>180.0</v>
      </c>
      <c r="F22" s="2">
        <v>300.0</v>
      </c>
      <c r="G22" s="75">
        <f>F22*((D22/365)*E22)</f>
        <v>15.16438356</v>
      </c>
      <c r="H22" s="2"/>
      <c r="J22" s="75">
        <f>G22*0.75</f>
        <v>11.37328767</v>
      </c>
      <c r="K22" s="103" t="s">
        <v>128</v>
      </c>
      <c r="L22" s="104">
        <v>0.0</v>
      </c>
      <c r="M22" s="96"/>
      <c r="N22" s="97"/>
      <c r="O22" s="96"/>
      <c r="P22" s="96"/>
      <c r="Q22" s="96"/>
      <c r="R22" s="96"/>
      <c r="S22" s="96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D23" s="5">
        <f>D20-D22</f>
        <v>0.0281</v>
      </c>
      <c r="G23" s="23">
        <f>G20-G22</f>
        <v>-6.308630137</v>
      </c>
      <c r="H23" s="2"/>
      <c r="I23" s="2"/>
      <c r="J23" s="109">
        <f>G22-J22</f>
        <v>3.79109589</v>
      </c>
      <c r="K23" s="101" t="s">
        <v>129</v>
      </c>
      <c r="L23" s="102">
        <v>0.1586</v>
      </c>
      <c r="M23" s="96"/>
      <c r="N23" s="96"/>
      <c r="O23" s="96"/>
      <c r="P23" s="100"/>
      <c r="Q23" s="96"/>
      <c r="R23" s="96"/>
      <c r="S23" s="96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35" t="s">
        <v>70</v>
      </c>
      <c r="D24" s="5"/>
      <c r="E24" s="5"/>
      <c r="F24" s="107">
        <f t="shared" ref="F24:G24" si="5">F20+F8+F9+F12+F11</f>
        <v>2575</v>
      </c>
      <c r="G24" s="107">
        <f t="shared" si="5"/>
        <v>69.23465753</v>
      </c>
      <c r="H24" s="2"/>
      <c r="I24" s="2"/>
      <c r="J24" s="96"/>
      <c r="K24" s="103" t="s">
        <v>112</v>
      </c>
      <c r="L24" s="104">
        <v>0.3861</v>
      </c>
      <c r="M24" s="96"/>
      <c r="N24" s="96"/>
      <c r="O24" s="96"/>
      <c r="P24" s="100"/>
      <c r="Q24" s="96"/>
      <c r="R24" s="96"/>
      <c r="S24" s="96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D25" s="2" t="s">
        <v>130</v>
      </c>
      <c r="E25" s="2"/>
      <c r="F25" s="61">
        <f>(G24/F24)*365/($C$2-$C$3)</f>
        <v>0.1090427184</v>
      </c>
      <c r="G25" s="34"/>
      <c r="H25" s="2"/>
      <c r="I25" s="2"/>
      <c r="J25" s="110"/>
      <c r="K25" s="101" t="s">
        <v>131</v>
      </c>
      <c r="L25" s="102">
        <v>0.0075</v>
      </c>
      <c r="M25" s="96"/>
      <c r="N25" s="96"/>
      <c r="O25" s="96"/>
      <c r="P25" s="100"/>
      <c r="Q25" s="96"/>
      <c r="R25" s="96"/>
      <c r="S25" s="96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D26" s="2" t="s">
        <v>121</v>
      </c>
      <c r="E26" s="2"/>
      <c r="F26" s="37">
        <f>F25-D17</f>
        <v>0.01404271845</v>
      </c>
      <c r="G26" s="2"/>
      <c r="H26" s="2"/>
      <c r="I26" s="2"/>
      <c r="J26" s="96"/>
      <c r="K26" s="96"/>
      <c r="L26" s="96"/>
      <c r="M26" s="96"/>
      <c r="N26" s="96"/>
      <c r="O26" s="108"/>
      <c r="P26" s="108"/>
      <c r="Q26" s="96"/>
      <c r="R26" s="96"/>
      <c r="S26" s="96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E27" s="53"/>
      <c r="F27" s="54"/>
      <c r="H27" s="2"/>
      <c r="I27" s="2"/>
      <c r="J27" s="93"/>
      <c r="K27" s="93"/>
      <c r="L27" s="111"/>
      <c r="M27" s="111"/>
      <c r="N27" s="111"/>
      <c r="O27" s="111"/>
      <c r="P27" s="111"/>
      <c r="Q27" s="111"/>
      <c r="R27" s="111"/>
      <c r="S27" s="111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1" t="s">
        <v>132</v>
      </c>
      <c r="C28" s="1" t="s">
        <v>51</v>
      </c>
      <c r="D28" s="1" t="s">
        <v>52</v>
      </c>
      <c r="E28" s="112"/>
      <c r="F28" s="113"/>
      <c r="G28" s="2"/>
      <c r="H28" s="2"/>
      <c r="I28" s="2"/>
      <c r="J28" s="15"/>
      <c r="K28" s="15"/>
      <c r="L28" s="114"/>
      <c r="M28" s="114"/>
      <c r="N28" s="115"/>
      <c r="O28" s="115"/>
      <c r="P28" s="116"/>
      <c r="Q28" s="115"/>
      <c r="R28" s="114"/>
      <c r="S28" s="116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35" t="s">
        <v>133</v>
      </c>
      <c r="C29" s="37">
        <v>0.1075</v>
      </c>
      <c r="D29" s="75">
        <v>500.0</v>
      </c>
      <c r="E29" s="117">
        <f t="shared" ref="E29:E31" si="6">D29*C29*3/12</f>
        <v>13.4375</v>
      </c>
      <c r="F29" s="118"/>
      <c r="G29" s="2"/>
      <c r="H29" s="2"/>
      <c r="I29" s="2"/>
      <c r="J29" s="15"/>
      <c r="K29" s="15"/>
      <c r="L29" s="114"/>
      <c r="M29" s="114"/>
      <c r="N29" s="119"/>
      <c r="O29" s="119"/>
      <c r="P29" s="116"/>
      <c r="Q29" s="119"/>
      <c r="R29" s="114"/>
      <c r="S29" s="116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50" t="s">
        <v>134</v>
      </c>
      <c r="C30" s="52">
        <f t="shared" ref="C30:C31" si="7">D11</f>
        <v>0.1037</v>
      </c>
      <c r="D30" s="75">
        <f>F11</f>
        <v>500</v>
      </c>
      <c r="E30" s="117">
        <f t="shared" si="6"/>
        <v>12.9625</v>
      </c>
      <c r="F30" s="118"/>
      <c r="G30" s="5"/>
      <c r="H30" s="2"/>
      <c r="I30" s="2"/>
      <c r="J30" s="15"/>
      <c r="K30" s="15"/>
      <c r="L30" s="114"/>
      <c r="M30" s="114"/>
      <c r="N30" s="119"/>
      <c r="O30" s="119"/>
      <c r="P30" s="116"/>
      <c r="Q30" s="119"/>
      <c r="R30" s="119"/>
      <c r="S30" s="116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35" t="s">
        <v>135</v>
      </c>
      <c r="C31" s="52">
        <f t="shared" si="7"/>
        <v>0.1035</v>
      </c>
      <c r="D31" s="75">
        <v>500.0</v>
      </c>
      <c r="E31" s="117">
        <f t="shared" si="6"/>
        <v>12.9375</v>
      </c>
      <c r="F31" s="118"/>
      <c r="G31" s="2"/>
      <c r="H31" s="5"/>
      <c r="I31" s="2"/>
      <c r="J31" s="15"/>
      <c r="K31" s="15"/>
      <c r="L31" s="114"/>
      <c r="M31" s="114"/>
      <c r="N31" s="115"/>
      <c r="O31" s="115"/>
      <c r="P31" s="116"/>
      <c r="Q31" s="115"/>
      <c r="R31" s="115"/>
      <c r="S31" s="116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35"/>
      <c r="C32" s="52"/>
      <c r="D32" s="63"/>
      <c r="E32" s="117"/>
      <c r="F32" s="118"/>
      <c r="G32" s="2"/>
      <c r="H32" s="2"/>
      <c r="I32" s="2"/>
      <c r="J32" s="15"/>
      <c r="K32" s="15"/>
      <c r="L32" s="114"/>
      <c r="M32" s="114"/>
      <c r="N32" s="119"/>
      <c r="O32" s="119"/>
      <c r="P32" s="116"/>
      <c r="Q32" s="119"/>
      <c r="R32" s="119"/>
      <c r="S32" s="116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6"/>
      <c r="C33" s="35"/>
      <c r="D33" s="37"/>
      <c r="E33" s="2"/>
      <c r="F33" s="2"/>
      <c r="G33" s="2"/>
      <c r="H33" s="2"/>
      <c r="I33" s="2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36"/>
      <c r="C34" s="35"/>
      <c r="D34" s="37"/>
      <c r="E34" s="2"/>
      <c r="F34" s="2"/>
      <c r="G34" s="2"/>
      <c r="H34" s="2"/>
      <c r="I34" s="2"/>
      <c r="J34" s="110"/>
      <c r="K34" s="120"/>
      <c r="L34" s="121"/>
      <c r="M34" s="96"/>
      <c r="N34" s="96"/>
      <c r="O34" s="96"/>
      <c r="P34" s="96"/>
      <c r="Q34" s="96"/>
      <c r="R34" s="96"/>
      <c r="S34" s="96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36"/>
      <c r="D35" s="5"/>
      <c r="E35" s="2"/>
      <c r="F35" s="2"/>
      <c r="G35" s="2"/>
      <c r="H35" s="2"/>
      <c r="I35" s="2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C36" s="35"/>
      <c r="D36" s="37"/>
      <c r="E36" s="2"/>
      <c r="F36" s="2"/>
      <c r="G36" s="2"/>
      <c r="H36" s="2"/>
      <c r="I36" s="2"/>
      <c r="J36" s="93"/>
      <c r="K36" s="93"/>
      <c r="L36" s="111"/>
      <c r="M36" s="111"/>
      <c r="N36" s="111"/>
      <c r="O36" s="111"/>
      <c r="P36" s="111"/>
      <c r="Q36" s="111"/>
      <c r="R36" s="111"/>
      <c r="S36" s="111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15"/>
      <c r="K37" s="15"/>
      <c r="L37" s="114"/>
      <c r="M37" s="114"/>
      <c r="N37" s="119"/>
      <c r="O37" s="119"/>
      <c r="P37" s="116"/>
      <c r="Q37" s="119"/>
      <c r="R37" s="114"/>
      <c r="S37" s="116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15"/>
      <c r="K38" s="15"/>
      <c r="L38" s="114"/>
      <c r="M38" s="114"/>
      <c r="N38" s="119"/>
      <c r="O38" s="119"/>
      <c r="P38" s="116"/>
      <c r="Q38" s="119"/>
      <c r="R38" s="119"/>
      <c r="S38" s="116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15"/>
      <c r="K39" s="15"/>
      <c r="L39" s="114"/>
      <c r="M39" s="114"/>
      <c r="N39" s="119"/>
      <c r="O39" s="119"/>
      <c r="P39" s="116"/>
      <c r="Q39" s="119"/>
      <c r="R39" s="119"/>
      <c r="S39" s="116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15"/>
      <c r="K40" s="15"/>
      <c r="L40" s="114"/>
      <c r="M40" s="114"/>
      <c r="N40" s="115"/>
      <c r="O40" s="115"/>
      <c r="P40" s="116"/>
      <c r="Q40" s="115"/>
      <c r="R40" s="115"/>
      <c r="S40" s="116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34:L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0"/>
    <col customWidth="1" min="3" max="3" width="18.0"/>
    <col customWidth="1" min="7" max="7" width="10.5"/>
    <col customWidth="1" min="8" max="8" width="16.5"/>
  </cols>
  <sheetData>
    <row r="1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22"/>
      <c r="B10" s="122"/>
      <c r="C10" s="122"/>
      <c r="D10" s="122"/>
      <c r="E10" s="123" t="s">
        <v>136</v>
      </c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>
      <c r="A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2"/>
      <c r="D40" s="12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2"/>
      <c r="D41" s="12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22"/>
      <c r="D42" s="12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22"/>
      <c r="D43" s="12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22"/>
      <c r="D44" s="12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22"/>
      <c r="B45" s="127"/>
      <c r="C45" s="127"/>
      <c r="D45" s="12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22"/>
      <c r="B46" s="127"/>
      <c r="C46" s="127"/>
      <c r="D46" s="12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2"/>
      <c r="B47" s="127"/>
      <c r="C47" s="127"/>
      <c r="D47" s="12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2"/>
      <c r="B48" s="127"/>
      <c r="C48" s="127"/>
      <c r="D48" s="12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2"/>
      <c r="B49" s="127"/>
      <c r="C49" s="127"/>
      <c r="D49" s="12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2"/>
      <c r="B50" s="127"/>
      <c r="C50" s="127"/>
      <c r="D50" s="12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2"/>
      <c r="B51" s="127"/>
      <c r="C51" s="127"/>
      <c r="D51" s="12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2"/>
      <c r="B53" s="122"/>
      <c r="C53" s="122"/>
      <c r="D53" s="122"/>
      <c r="E53" s="123" t="s">
        <v>146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>
      <c r="A1001" s="122"/>
      <c r="B1001" s="122"/>
      <c r="C1001" s="122"/>
      <c r="D1001" s="122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</sheetData>
  <autoFilter ref="$B$40:$D$51">
    <sortState ref="B40:D51">
      <sortCondition descending="1" ref="C40:C51"/>
      <sortCondition descending="1" ref="D40:D51"/>
    </sortState>
  </autoFilter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7.25"/>
    <col customWidth="1" min="3" max="3" width="21.88"/>
    <col customWidth="1" min="4" max="7" width="14.0"/>
    <col customWidth="1" min="8" max="10" width="15.63"/>
    <col customWidth="1" min="11" max="12" width="14.0"/>
    <col customWidth="1" min="13" max="13" width="16.5"/>
    <col customWidth="1" min="14" max="14" width="15.5"/>
    <col customWidth="1" min="16" max="16" width="13.63"/>
    <col customWidth="1" min="18" max="18" width="23.88"/>
    <col customWidth="1" min="19" max="19" width="17.88"/>
    <col customWidth="1" min="20" max="20" width="24.75"/>
    <col customWidth="1" min="21" max="22" width="16.5"/>
    <col customWidth="1" min="23" max="23" width="17.88"/>
    <col customWidth="1" min="28" max="28" width="17.38"/>
    <col customWidth="1" min="29" max="29" width="13.38"/>
  </cols>
  <sheetData>
    <row r="1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</row>
    <row r="2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</row>
    <row r="3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</row>
    <row r="4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</row>
    <row r="5">
      <c r="A5" s="130"/>
      <c r="B5" s="131"/>
      <c r="C5" s="132"/>
      <c r="D5" s="130"/>
      <c r="E5" s="130"/>
      <c r="F5" s="130"/>
      <c r="G5" s="130"/>
      <c r="H5" s="133"/>
      <c r="I5" s="133"/>
      <c r="J5" s="133"/>
      <c r="K5" s="133"/>
      <c r="L5" s="133"/>
      <c r="M5" s="133"/>
      <c r="N5" s="133"/>
      <c r="O5" s="134"/>
      <c r="P5" s="135"/>
      <c r="Q5" s="135"/>
      <c r="R5" s="133"/>
      <c r="S5" s="133"/>
      <c r="T5" s="133"/>
      <c r="U5" s="133"/>
      <c r="V5" s="136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</row>
    <row r="6">
      <c r="A6" s="130"/>
      <c r="B6" s="137" t="s">
        <v>137</v>
      </c>
      <c r="C6" s="138" t="s">
        <v>147</v>
      </c>
      <c r="D6" s="138" t="s">
        <v>148</v>
      </c>
      <c r="E6" s="138" t="s">
        <v>149</v>
      </c>
      <c r="F6" s="139" t="s">
        <v>150</v>
      </c>
      <c r="G6" s="138" t="s">
        <v>151</v>
      </c>
      <c r="H6" s="138" t="s">
        <v>152</v>
      </c>
      <c r="I6" s="138" t="s">
        <v>153</v>
      </c>
      <c r="J6" s="138" t="s">
        <v>154</v>
      </c>
      <c r="K6" s="139" t="s">
        <v>155</v>
      </c>
      <c r="L6" s="138" t="s">
        <v>156</v>
      </c>
      <c r="M6" s="138" t="s">
        <v>157</v>
      </c>
      <c r="N6" s="140" t="s">
        <v>158</v>
      </c>
      <c r="O6" s="140" t="s">
        <v>159</v>
      </c>
      <c r="P6" s="139" t="s">
        <v>160</v>
      </c>
      <c r="Q6" s="140" t="s">
        <v>161</v>
      </c>
      <c r="R6" s="138" t="s">
        <v>162</v>
      </c>
      <c r="S6" s="138" t="s">
        <v>163</v>
      </c>
      <c r="T6" s="138" t="s">
        <v>164</v>
      </c>
      <c r="U6" s="140" t="s">
        <v>8</v>
      </c>
      <c r="V6" s="140" t="s">
        <v>165</v>
      </c>
      <c r="W6" s="139" t="s">
        <v>6</v>
      </c>
      <c r="X6" s="139" t="s">
        <v>166</v>
      </c>
      <c r="Y6" s="141" t="s">
        <v>167</v>
      </c>
      <c r="Z6" s="139" t="s">
        <v>168</v>
      </c>
      <c r="AA6" s="142" t="s">
        <v>169</v>
      </c>
      <c r="AB6" s="142" t="s">
        <v>170</v>
      </c>
      <c r="AC6" s="142" t="s">
        <v>171</v>
      </c>
      <c r="AD6" s="142" t="s">
        <v>97</v>
      </c>
      <c r="AL6" s="130"/>
      <c r="AM6" s="130"/>
      <c r="AN6" s="130"/>
      <c r="AO6" s="130"/>
      <c r="AP6" s="130"/>
    </row>
    <row r="7">
      <c r="A7" s="130"/>
      <c r="B7" s="143" t="s">
        <v>12</v>
      </c>
      <c r="C7" s="144">
        <v>1.999988012E9</v>
      </c>
      <c r="D7" s="145">
        <f t="shared" ref="D7:D12" si="1">C7*Q7/365*(IF(N7&lt;$AD$7-7,($AD$7-N7-7),($AD$7-N7)))+C7</f>
        <v>2123393300</v>
      </c>
      <c r="E7" s="145">
        <f t="shared" ref="E7:E12" si="2">C7*Q7/365*($AD$7-N7)+C7</f>
        <v>2127566425</v>
      </c>
      <c r="F7" s="146">
        <f t="shared" ref="F7:F12" si="3">E7-D7</f>
        <v>4173125.671</v>
      </c>
      <c r="G7" s="147"/>
      <c r="H7" s="147"/>
      <c r="I7" s="147"/>
      <c r="J7" s="147"/>
      <c r="K7" s="148"/>
      <c r="L7" s="147"/>
      <c r="M7" s="147"/>
      <c r="N7" s="147">
        <v>45895.0</v>
      </c>
      <c r="O7" s="147">
        <v>46240.0</v>
      </c>
      <c r="P7" s="149">
        <f t="shared" ref="P7:P12" si="4">(E7-D7)/C7*365/7</f>
        <v>0.1088</v>
      </c>
      <c r="Q7" s="150">
        <v>0.1088</v>
      </c>
      <c r="R7" s="151">
        <f t="shared" ref="R7:R15" si="5">S7</f>
        <v>0.1088</v>
      </c>
      <c r="S7" s="151">
        <f t="shared" ref="S7:S12" si="6">P7</f>
        <v>0.1088</v>
      </c>
      <c r="T7" s="151">
        <f t="shared" ref="T7:T15" si="7">S7</f>
        <v>0.1088</v>
      </c>
      <c r="U7" s="152">
        <f t="shared" ref="U7:U12" si="8">O7-N7</f>
        <v>345</v>
      </c>
      <c r="V7" s="152">
        <f t="shared" ref="V7:V12" si="9">O7-$AD$7</f>
        <v>131</v>
      </c>
      <c r="W7" s="149">
        <f t="shared" ref="W7:W20" si="10">C7/$C$21</f>
        <v>0.2140575031</v>
      </c>
      <c r="X7" s="153">
        <f t="shared" ref="X7:X20" si="11">(V7/365)/(1+Q7)*E7*0.0001</f>
        <v>68866.55244</v>
      </c>
      <c r="Y7" s="153">
        <f t="shared" ref="Y7:Y20" si="12">(V7/365)/(1+Q7)</f>
        <v>0.3236869675</v>
      </c>
      <c r="Z7" s="154">
        <f t="shared" ref="Z7:Z20" si="13">(V7/365)^2/(1+Q7)^2</f>
        <v>0.1047732529</v>
      </c>
      <c r="AA7" s="155" t="s">
        <v>172</v>
      </c>
      <c r="AB7" s="156">
        <f t="array" ref="AB7">xlookup(AA7,'PKRV Rates'!$A$2:$A$21,'PKRV Rates'!$B$2:$B$21,0,1)/100</f>
        <v>0.1163</v>
      </c>
      <c r="AC7" s="157">
        <f t="shared" ref="AC7:AC12" si="14">C7*(((1+(Q7*U7/365))/(1+(AB7*V7/365))))</f>
        <v>2117286781</v>
      </c>
      <c r="AD7" s="158">
        <f>today()</f>
        <v>46109</v>
      </c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</row>
    <row r="8">
      <c r="A8" s="130"/>
      <c r="B8" s="143" t="s">
        <v>14</v>
      </c>
      <c r="C8" s="144">
        <v>4.741825E8</v>
      </c>
      <c r="D8" s="145">
        <f t="shared" si="1"/>
        <v>488369001.1</v>
      </c>
      <c r="E8" s="145">
        <f t="shared" si="2"/>
        <v>489362056.2</v>
      </c>
      <c r="F8" s="146">
        <f t="shared" si="3"/>
        <v>993055.0767</v>
      </c>
      <c r="G8" s="147"/>
      <c r="H8" s="147"/>
      <c r="I8" s="147"/>
      <c r="J8" s="147"/>
      <c r="K8" s="148"/>
      <c r="L8" s="147"/>
      <c r="M8" s="147"/>
      <c r="N8" s="147">
        <v>46002.0</v>
      </c>
      <c r="O8" s="147">
        <v>46184.0</v>
      </c>
      <c r="P8" s="149">
        <f t="shared" si="4"/>
        <v>0.1092</v>
      </c>
      <c r="Q8" s="150">
        <v>0.1092</v>
      </c>
      <c r="R8" s="151">
        <f t="shared" si="5"/>
        <v>0.1092</v>
      </c>
      <c r="S8" s="151">
        <f t="shared" si="6"/>
        <v>0.1092</v>
      </c>
      <c r="T8" s="151">
        <f t="shared" si="7"/>
        <v>0.1092</v>
      </c>
      <c r="U8" s="152">
        <f t="shared" si="8"/>
        <v>182</v>
      </c>
      <c r="V8" s="152">
        <f t="shared" si="9"/>
        <v>75</v>
      </c>
      <c r="W8" s="149">
        <f t="shared" si="10"/>
        <v>0.05075146519</v>
      </c>
      <c r="X8" s="153">
        <f t="shared" si="11"/>
        <v>9065.438799</v>
      </c>
      <c r="Y8" s="153">
        <f t="shared" si="12"/>
        <v>0.1852501371</v>
      </c>
      <c r="Z8" s="154">
        <f t="shared" si="13"/>
        <v>0.03431761329</v>
      </c>
      <c r="AA8" s="155" t="s">
        <v>173</v>
      </c>
      <c r="AB8" s="156">
        <f t="array" ref="AB8">xlookup(AA8,'PKRV Rates'!$A$2:$A$21,'PKRV Rates'!$B$2:$B$21,0,1)/100</f>
        <v>0.1136</v>
      </c>
      <c r="AC8" s="157">
        <f t="shared" si="14"/>
        <v>488596876.1</v>
      </c>
      <c r="AD8" s="159">
        <f t="shared" ref="AD8:AD20" si="15">AD7</f>
        <v>46109</v>
      </c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</row>
    <row r="9">
      <c r="A9" s="130"/>
      <c r="B9" s="143" t="s">
        <v>12</v>
      </c>
      <c r="C9" s="144">
        <f>1199982431+112795631</f>
        <v>1312778062</v>
      </c>
      <c r="D9" s="145">
        <f t="shared" si="1"/>
        <v>1324161466</v>
      </c>
      <c r="E9" s="145">
        <f t="shared" si="2"/>
        <v>1326817594</v>
      </c>
      <c r="F9" s="146">
        <f t="shared" si="3"/>
        <v>2656127.668</v>
      </c>
      <c r="G9" s="147"/>
      <c r="H9" s="147"/>
      <c r="I9" s="147"/>
      <c r="J9" s="147"/>
      <c r="K9" s="148"/>
      <c r="L9" s="147"/>
      <c r="M9" s="147"/>
      <c r="N9" s="147">
        <v>46072.0</v>
      </c>
      <c r="O9" s="147">
        <f t="shared" ref="O9:O12" si="16">N9+364</f>
        <v>46436</v>
      </c>
      <c r="P9" s="149">
        <f t="shared" si="4"/>
        <v>0.1055</v>
      </c>
      <c r="Q9" s="160">
        <v>0.1055</v>
      </c>
      <c r="R9" s="151">
        <f t="shared" si="5"/>
        <v>0.1055</v>
      </c>
      <c r="S9" s="151">
        <f t="shared" si="6"/>
        <v>0.1055</v>
      </c>
      <c r="T9" s="151">
        <f t="shared" si="7"/>
        <v>0.1055</v>
      </c>
      <c r="U9" s="161">
        <f t="shared" si="8"/>
        <v>364</v>
      </c>
      <c r="V9" s="152">
        <f t="shared" si="9"/>
        <v>327</v>
      </c>
      <c r="W9" s="149">
        <f t="shared" si="10"/>
        <v>0.1405058392</v>
      </c>
      <c r="X9" s="153">
        <f t="shared" si="11"/>
        <v>107524.483</v>
      </c>
      <c r="Y9" s="153">
        <f t="shared" si="12"/>
        <v>0.8103938589</v>
      </c>
      <c r="Z9" s="154">
        <f t="shared" si="13"/>
        <v>0.6567382065</v>
      </c>
      <c r="AA9" s="155" t="s">
        <v>172</v>
      </c>
      <c r="AB9" s="156">
        <f t="array" ref="AB9">xlookup(AA9,'PKRV Rates'!$A$2:$A$21,'PKRV Rates'!$B$2:$B$21,0,1)/100</f>
        <v>0.1163</v>
      </c>
      <c r="AC9" s="157">
        <f t="shared" si="14"/>
        <v>1313989441</v>
      </c>
      <c r="AD9" s="159">
        <f t="shared" si="15"/>
        <v>46109</v>
      </c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</row>
    <row r="10">
      <c r="A10" s="130"/>
      <c r="B10" s="162" t="s">
        <v>12</v>
      </c>
      <c r="C10" s="144">
        <v>3.8402235E8</v>
      </c>
      <c r="D10" s="145">
        <f t="shared" si="1"/>
        <v>385823572.6</v>
      </c>
      <c r="E10" s="145">
        <f t="shared" si="2"/>
        <v>386611607.5</v>
      </c>
      <c r="F10" s="146">
        <f t="shared" si="3"/>
        <v>788034.9045</v>
      </c>
      <c r="G10" s="147"/>
      <c r="H10" s="147"/>
      <c r="I10" s="147"/>
      <c r="J10" s="147"/>
      <c r="K10" s="148"/>
      <c r="L10" s="147"/>
      <c r="M10" s="147"/>
      <c r="N10" s="147">
        <v>46086.0</v>
      </c>
      <c r="O10" s="147">
        <f t="shared" si="16"/>
        <v>46450</v>
      </c>
      <c r="P10" s="149">
        <f t="shared" si="4"/>
        <v>0.107</v>
      </c>
      <c r="Q10" s="160">
        <v>0.107</v>
      </c>
      <c r="R10" s="151">
        <f t="shared" si="5"/>
        <v>0.107</v>
      </c>
      <c r="S10" s="151">
        <f t="shared" si="6"/>
        <v>0.107</v>
      </c>
      <c r="T10" s="151">
        <f t="shared" si="7"/>
        <v>0.107</v>
      </c>
      <c r="U10" s="161">
        <f t="shared" si="8"/>
        <v>364</v>
      </c>
      <c r="V10" s="152">
        <f t="shared" si="9"/>
        <v>341</v>
      </c>
      <c r="W10" s="149">
        <f t="shared" si="10"/>
        <v>0.04110167906</v>
      </c>
      <c r="X10" s="153">
        <f t="shared" si="11"/>
        <v>32627.87447</v>
      </c>
      <c r="Y10" s="153">
        <f t="shared" si="12"/>
        <v>0.8439445125</v>
      </c>
      <c r="Z10" s="154">
        <f t="shared" si="13"/>
        <v>0.7122423402</v>
      </c>
      <c r="AA10" s="155" t="s">
        <v>172</v>
      </c>
      <c r="AB10" s="156">
        <f t="array" ref="AB10">xlookup(AA10,'PKRV Rates'!$A$2:$A$21,'PKRV Rates'!$B$2:$B$21,0,1)/100</f>
        <v>0.1163</v>
      </c>
      <c r="AC10" s="157">
        <f t="shared" si="14"/>
        <v>383348272.5</v>
      </c>
      <c r="AD10" s="159">
        <f t="shared" si="15"/>
        <v>46109</v>
      </c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</row>
    <row r="11">
      <c r="A11" s="130"/>
      <c r="B11" s="162" t="s">
        <v>12</v>
      </c>
      <c r="C11" s="144">
        <v>4.515875E8</v>
      </c>
      <c r="D11" s="145">
        <f t="shared" si="1"/>
        <v>453709590.1</v>
      </c>
      <c r="E11" s="145">
        <f t="shared" si="2"/>
        <v>454638004.5</v>
      </c>
      <c r="F11" s="146">
        <f t="shared" si="3"/>
        <v>928414.411</v>
      </c>
      <c r="G11" s="147"/>
      <c r="H11" s="147"/>
      <c r="I11" s="147"/>
      <c r="J11" s="147"/>
      <c r="K11" s="148"/>
      <c r="L11" s="147"/>
      <c r="M11" s="147"/>
      <c r="N11" s="147">
        <v>46086.0</v>
      </c>
      <c r="O11" s="147">
        <f t="shared" si="16"/>
        <v>46450</v>
      </c>
      <c r="P11" s="149">
        <f t="shared" si="4"/>
        <v>0.1072</v>
      </c>
      <c r="Q11" s="160">
        <v>0.1072</v>
      </c>
      <c r="R11" s="151">
        <f t="shared" si="5"/>
        <v>0.1072</v>
      </c>
      <c r="S11" s="151">
        <f t="shared" si="6"/>
        <v>0.1072</v>
      </c>
      <c r="T11" s="151">
        <f t="shared" si="7"/>
        <v>0.1072</v>
      </c>
      <c r="U11" s="161">
        <f t="shared" si="8"/>
        <v>364</v>
      </c>
      <c r="V11" s="152">
        <f t="shared" si="9"/>
        <v>341</v>
      </c>
      <c r="W11" s="149">
        <f t="shared" si="10"/>
        <v>0.04833313605</v>
      </c>
      <c r="X11" s="153">
        <f t="shared" si="11"/>
        <v>38361.9941</v>
      </c>
      <c r="Y11" s="153">
        <f t="shared" si="12"/>
        <v>0.8437920659</v>
      </c>
      <c r="Z11" s="154">
        <f t="shared" si="13"/>
        <v>0.7119850504</v>
      </c>
      <c r="AA11" s="155" t="s">
        <v>172</v>
      </c>
      <c r="AB11" s="156">
        <f t="array" ref="AB11">xlookup(AA11,'PKRV Rates'!$A$2:$A$21,'PKRV Rates'!$B$2:$B$21,0,1)/100</f>
        <v>0.1163</v>
      </c>
      <c r="AC11" s="157">
        <f t="shared" si="14"/>
        <v>450876067.6</v>
      </c>
      <c r="AD11" s="159">
        <f t="shared" si="15"/>
        <v>46109</v>
      </c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</row>
    <row r="12">
      <c r="A12" s="130"/>
      <c r="B12" s="162" t="s">
        <v>12</v>
      </c>
      <c r="C12" s="144">
        <v>4.517095E8</v>
      </c>
      <c r="D12" s="145">
        <f t="shared" si="1"/>
        <v>453838103.7</v>
      </c>
      <c r="E12" s="145">
        <f t="shared" si="2"/>
        <v>454769367.8</v>
      </c>
      <c r="F12" s="146">
        <f t="shared" si="3"/>
        <v>931264.1062</v>
      </c>
      <c r="G12" s="147"/>
      <c r="H12" s="147"/>
      <c r="I12" s="147"/>
      <c r="J12" s="147"/>
      <c r="K12" s="148"/>
      <c r="L12" s="147"/>
      <c r="M12" s="147"/>
      <c r="N12" s="147">
        <v>46086.0</v>
      </c>
      <c r="O12" s="147">
        <f t="shared" si="16"/>
        <v>46450</v>
      </c>
      <c r="P12" s="149">
        <f t="shared" si="4"/>
        <v>0.1075</v>
      </c>
      <c r="Q12" s="160">
        <f>10.75%</f>
        <v>0.1075</v>
      </c>
      <c r="R12" s="151">
        <f t="shared" si="5"/>
        <v>0.1075</v>
      </c>
      <c r="S12" s="151">
        <f t="shared" si="6"/>
        <v>0.1075</v>
      </c>
      <c r="T12" s="151">
        <f t="shared" si="7"/>
        <v>0.1075</v>
      </c>
      <c r="U12" s="152">
        <f t="shared" si="8"/>
        <v>364</v>
      </c>
      <c r="V12" s="152">
        <f t="shared" si="9"/>
        <v>341</v>
      </c>
      <c r="W12" s="149">
        <f t="shared" si="10"/>
        <v>0.04834619364</v>
      </c>
      <c r="X12" s="153">
        <f t="shared" si="11"/>
        <v>38362.68392</v>
      </c>
      <c r="Y12" s="153">
        <f t="shared" si="12"/>
        <v>0.8435634992</v>
      </c>
      <c r="Z12" s="154">
        <f t="shared" si="13"/>
        <v>0.7115993771</v>
      </c>
      <c r="AA12" s="155" t="s">
        <v>172</v>
      </c>
      <c r="AB12" s="156">
        <f t="array" ref="AB12">xlookup(AA12,'PKRV Rates'!$A$2:$A$21,'PKRV Rates'!$B$2:$B$21,0,1)/100</f>
        <v>0.1163</v>
      </c>
      <c r="AC12" s="157">
        <f t="shared" si="14"/>
        <v>451119772.5</v>
      </c>
      <c r="AD12" s="159">
        <f t="shared" si="15"/>
        <v>46109</v>
      </c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</row>
    <row r="13">
      <c r="A13" s="130"/>
      <c r="B13" s="143" t="s">
        <v>15</v>
      </c>
      <c r="C13" s="144">
        <v>2.2989492E8</v>
      </c>
      <c r="D13" s="145">
        <f t="shared" ref="D13:E13" si="17">C13</f>
        <v>229894920</v>
      </c>
      <c r="E13" s="163">
        <f t="shared" si="17"/>
        <v>229894920</v>
      </c>
      <c r="F13" s="146">
        <f t="shared" ref="F13:F14" si="19">D13*Q13*7/365*(1-20%)</f>
        <v>361533.381</v>
      </c>
      <c r="G13" s="147"/>
      <c r="H13" s="147"/>
      <c r="I13" s="147"/>
      <c r="J13" s="147"/>
      <c r="K13" s="148"/>
      <c r="L13" s="147"/>
      <c r="M13" s="147"/>
      <c r="N13" s="147"/>
      <c r="O13" s="147"/>
      <c r="P13" s="164">
        <f>F13/D13*365/7</f>
        <v>0.082</v>
      </c>
      <c r="Q13" s="150">
        <v>0.1025</v>
      </c>
      <c r="R13" s="151">
        <f t="shared" si="5"/>
        <v>0.082</v>
      </c>
      <c r="S13" s="165">
        <f t="shared" ref="S13:S15" si="20">Q13*0.8</f>
        <v>0.082</v>
      </c>
      <c r="T13" s="151">
        <f t="shared" si="7"/>
        <v>0.082</v>
      </c>
      <c r="U13" s="166">
        <v>1.0</v>
      </c>
      <c r="V13" s="166">
        <v>1.0</v>
      </c>
      <c r="W13" s="149">
        <f t="shared" si="10"/>
        <v>0.02460551376</v>
      </c>
      <c r="X13" s="153">
        <f t="shared" si="11"/>
        <v>57.1291697</v>
      </c>
      <c r="Y13" s="153">
        <f t="shared" si="12"/>
        <v>0.00248501227</v>
      </c>
      <c r="Z13" s="154">
        <f t="shared" si="13"/>
        <v>0.000006175285981</v>
      </c>
      <c r="AA13" s="155"/>
      <c r="AB13" s="155"/>
      <c r="AC13" s="157">
        <f t="shared" ref="AC13:AC20" si="21">E13</f>
        <v>229894920</v>
      </c>
      <c r="AD13" s="159">
        <f t="shared" si="15"/>
        <v>46109</v>
      </c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</row>
    <row r="14">
      <c r="A14" s="130"/>
      <c r="B14" s="167" t="s">
        <v>16</v>
      </c>
      <c r="C14" s="144">
        <v>0.0</v>
      </c>
      <c r="D14" s="145">
        <f t="shared" ref="D14:E14" si="18">C14</f>
        <v>0</v>
      </c>
      <c r="E14" s="145">
        <f t="shared" si="18"/>
        <v>0</v>
      </c>
      <c r="F14" s="146">
        <f t="shared" si="19"/>
        <v>0</v>
      </c>
      <c r="G14" s="168"/>
      <c r="H14" s="168"/>
      <c r="I14" s="168"/>
      <c r="J14" s="168"/>
      <c r="K14" s="148"/>
      <c r="L14" s="168"/>
      <c r="M14" s="168"/>
      <c r="N14" s="168"/>
      <c r="O14" s="168">
        <v>46118.0</v>
      </c>
      <c r="P14" s="169">
        <f>Q14*(1-0.2)</f>
        <v>0.082</v>
      </c>
      <c r="Q14" s="170">
        <v>0.1025</v>
      </c>
      <c r="R14" s="151">
        <f t="shared" si="5"/>
        <v>0.082</v>
      </c>
      <c r="S14" s="165">
        <f t="shared" si="20"/>
        <v>0.082</v>
      </c>
      <c r="T14" s="151">
        <f t="shared" si="7"/>
        <v>0.082</v>
      </c>
      <c r="U14" s="166">
        <f>V14</f>
        <v>9</v>
      </c>
      <c r="V14" s="166">
        <f>O14-AD7</f>
        <v>9</v>
      </c>
      <c r="W14" s="149">
        <f t="shared" si="10"/>
        <v>0</v>
      </c>
      <c r="X14" s="153">
        <f t="shared" si="11"/>
        <v>0</v>
      </c>
      <c r="Y14" s="153">
        <f t="shared" si="12"/>
        <v>0.02236511043</v>
      </c>
      <c r="Z14" s="154">
        <f t="shared" si="13"/>
        <v>0.0005001981644</v>
      </c>
      <c r="AA14" s="130"/>
      <c r="AB14" s="130"/>
      <c r="AC14" s="157">
        <f t="shared" si="21"/>
        <v>0</v>
      </c>
      <c r="AD14" s="159">
        <f t="shared" si="15"/>
        <v>46109</v>
      </c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</row>
    <row r="15">
      <c r="A15" s="130"/>
      <c r="B15" s="171" t="s">
        <v>18</v>
      </c>
      <c r="C15" s="172">
        <v>1.3E9</v>
      </c>
      <c r="D15" s="145">
        <f>(C15*Q15/365*(IF(N15&lt;$AD$7-7,($AD$7-N15-7),($AD$7-N15)))*(1-20%))+C15</f>
        <v>1305727123</v>
      </c>
      <c r="E15" s="145">
        <f>(C15*Q15/365*($AD$7-N15)*(1-20%))+C15</f>
        <v>1307731616</v>
      </c>
      <c r="F15" s="146">
        <f t="shared" ref="F15:F20" si="22">E15-D15</f>
        <v>2004493.151</v>
      </c>
      <c r="G15" s="168"/>
      <c r="H15" s="168"/>
      <c r="I15" s="168"/>
      <c r="J15" s="168"/>
      <c r="K15" s="148"/>
      <c r="L15" s="168"/>
      <c r="M15" s="168"/>
      <c r="N15" s="168">
        <v>46082.0</v>
      </c>
      <c r="O15" s="168">
        <v>46112.0</v>
      </c>
      <c r="P15" s="173">
        <f>(E15-D15)/C15*365/7</f>
        <v>0.0804</v>
      </c>
      <c r="Q15" s="174">
        <v>0.1005</v>
      </c>
      <c r="R15" s="151">
        <f t="shared" si="5"/>
        <v>0.0804</v>
      </c>
      <c r="S15" s="165">
        <f t="shared" si="20"/>
        <v>0.0804</v>
      </c>
      <c r="T15" s="151">
        <f t="shared" si="7"/>
        <v>0.0804</v>
      </c>
      <c r="U15" s="161">
        <v>30.0</v>
      </c>
      <c r="V15" s="161">
        <f>O15-AD7</f>
        <v>3</v>
      </c>
      <c r="W15" s="149">
        <f t="shared" si="10"/>
        <v>0.139138211</v>
      </c>
      <c r="X15" s="153">
        <f t="shared" si="11"/>
        <v>976.6905079</v>
      </c>
      <c r="Y15" s="153">
        <f t="shared" si="12"/>
        <v>0.007468585263</v>
      </c>
      <c r="Z15" s="154">
        <f t="shared" si="13"/>
        <v>0.00005577976583</v>
      </c>
      <c r="AA15" s="130"/>
      <c r="AB15" s="130"/>
      <c r="AC15" s="157">
        <f t="shared" si="21"/>
        <v>1307731616</v>
      </c>
      <c r="AD15" s="159">
        <f t="shared" si="15"/>
        <v>46109</v>
      </c>
      <c r="AL15" s="130"/>
      <c r="AM15" s="130"/>
      <c r="AN15" s="130"/>
      <c r="AO15" s="130"/>
      <c r="AP15" s="130"/>
    </row>
    <row r="16">
      <c r="A16" s="130"/>
      <c r="B16" s="167" t="s">
        <v>19</v>
      </c>
      <c r="C16" s="144">
        <v>8.2760844E8</v>
      </c>
      <c r="D16" s="175">
        <f t="shared" ref="D16:D19" si="23">M16*K16</f>
        <v>834797212.7</v>
      </c>
      <c r="E16" s="175">
        <f t="shared" ref="E16:E19" si="24">L16*M16</f>
        <v>835423764.3</v>
      </c>
      <c r="F16" s="146">
        <f t="shared" si="22"/>
        <v>626551.6465</v>
      </c>
      <c r="G16" s="176">
        <f t="array" ref="G16">xlookup($B16,'MUFAP Data'!$C:$C,'MUFAP Data'!H:H,0,0)/100</f>
        <v>0.0781</v>
      </c>
      <c r="H16" s="176">
        <f t="array" ref="H16">xlookup($B16,'MUFAP Data'!$C:$C,'MUFAP Data'!I:I,0,0)/100</f>
        <v>-0.0193</v>
      </c>
      <c r="I16" s="176">
        <f t="array" ref="I16">xlookup($B16,'MUFAP Data'!$C:$C,'MUFAP Data'!J:J,0,0)/100</f>
        <v>-0.2778</v>
      </c>
      <c r="J16" s="176">
        <f t="array" ref="J16">xlookup($B16,'MUFAP Data'!$C:$C,'MUFAP Data'!K:K,0,0)/100</f>
        <v>0.023</v>
      </c>
      <c r="K16" s="177">
        <v>105.79</v>
      </c>
      <c r="L16" s="178">
        <f t="array" ref="L16">xlookup($B16,'MUFAP Data'!$C:$C,'MUFAP Data'!G:G,0,0)</f>
        <v>105.8694</v>
      </c>
      <c r="M16" s="179">
        <v>7891078.6719</v>
      </c>
      <c r="N16" s="147"/>
      <c r="O16" s="147"/>
      <c r="P16" s="180">
        <f t="shared" ref="P16:P19" si="25">(L16/K16-1)*365/7</f>
        <v>0.03913548405</v>
      </c>
      <c r="Q16" s="170">
        <v>0.07</v>
      </c>
      <c r="R16" s="165">
        <f t="shared" ref="R16:R19" si="26">G16</f>
        <v>0.0781</v>
      </c>
      <c r="S16" s="165">
        <f t="shared" ref="S16:S19" si="27">Q16</f>
        <v>0.07</v>
      </c>
      <c r="T16" s="165">
        <f t="shared" ref="T16:T19" si="28">I16</f>
        <v>-0.2778</v>
      </c>
      <c r="U16" s="166">
        <f>0.78*365</f>
        <v>284.7</v>
      </c>
      <c r="V16" s="166">
        <f t="shared" ref="V16:V19" si="29">1*U16</f>
        <v>284.7</v>
      </c>
      <c r="W16" s="149">
        <f t="shared" si="10"/>
        <v>0.08857842905</v>
      </c>
      <c r="X16" s="153">
        <f t="shared" si="11"/>
        <v>60900.05011</v>
      </c>
      <c r="Y16" s="153">
        <f t="shared" si="12"/>
        <v>0.7289719626</v>
      </c>
      <c r="Z16" s="154">
        <f t="shared" si="13"/>
        <v>0.5314001223</v>
      </c>
      <c r="AA16" s="130"/>
      <c r="AB16" s="130"/>
      <c r="AC16" s="157">
        <f t="shared" si="21"/>
        <v>835423764.3</v>
      </c>
      <c r="AD16" s="159">
        <f t="shared" si="15"/>
        <v>46109</v>
      </c>
      <c r="AL16" s="130"/>
      <c r="AM16" s="130"/>
      <c r="AN16" s="130"/>
      <c r="AO16" s="130"/>
      <c r="AP16" s="130"/>
    </row>
    <row r="17">
      <c r="A17" s="130"/>
      <c r="B17" s="167" t="s">
        <v>140</v>
      </c>
      <c r="C17" s="172">
        <f t="shared" ref="C17:C19" si="30">D17</f>
        <v>313373177.3</v>
      </c>
      <c r="D17" s="175">
        <f t="shared" si="23"/>
        <v>313373177.3</v>
      </c>
      <c r="E17" s="175">
        <f t="shared" si="24"/>
        <v>314074287.1</v>
      </c>
      <c r="F17" s="146">
        <f t="shared" si="22"/>
        <v>701109.885</v>
      </c>
      <c r="G17" s="176">
        <f t="array" ref="G17">xlookup($B17,'MUFAP Data'!$C:$C,'MUFAP Data'!H:H,0,0)/100</f>
        <v>0.1124</v>
      </c>
      <c r="H17" s="176">
        <f t="array" ref="H17">xlookup($B17,'MUFAP Data'!$C:$C,'MUFAP Data'!I:I,0,0)/100</f>
        <v>0.0949</v>
      </c>
      <c r="I17" s="176">
        <f t="array" ref="I17">xlookup($B17,'MUFAP Data'!$C:$C,'MUFAP Data'!J:J,0,0)/100</f>
        <v>0.0876</v>
      </c>
      <c r="J17" s="176">
        <f t="array" ref="J17">xlookup($B17,'MUFAP Data'!$C:$C,'MUFAP Data'!K:K,0,0)/100</f>
        <v>0.0945</v>
      </c>
      <c r="K17" s="177">
        <v>112.01</v>
      </c>
      <c r="L17" s="178">
        <f t="array" ref="L17">xlookup($B17,'MUFAP Data'!$C:$C,'MUFAP Data'!G:G,0,0)</f>
        <v>112.2606</v>
      </c>
      <c r="M17" s="179">
        <v>2797725.0</v>
      </c>
      <c r="N17" s="147"/>
      <c r="O17" s="147"/>
      <c r="P17" s="180">
        <f t="shared" si="25"/>
        <v>0.1166592269</v>
      </c>
      <c r="Q17" s="170">
        <v>0.07</v>
      </c>
      <c r="R17" s="165">
        <f t="shared" si="26"/>
        <v>0.1124</v>
      </c>
      <c r="S17" s="165">
        <f t="shared" si="27"/>
        <v>0.07</v>
      </c>
      <c r="T17" s="165">
        <f t="shared" si="28"/>
        <v>0.0876</v>
      </c>
      <c r="U17" s="166">
        <v>1.0</v>
      </c>
      <c r="V17" s="166">
        <f t="shared" si="29"/>
        <v>1</v>
      </c>
      <c r="W17" s="149">
        <f t="shared" si="10"/>
        <v>0.03354014097</v>
      </c>
      <c r="X17" s="153">
        <f t="shared" si="11"/>
        <v>80.41845785</v>
      </c>
      <c r="Y17" s="153">
        <f t="shared" si="12"/>
        <v>0.002560491614</v>
      </c>
      <c r="Z17" s="154">
        <f t="shared" si="13"/>
        <v>0.000006556117307</v>
      </c>
      <c r="AA17" s="130"/>
      <c r="AB17" s="130"/>
      <c r="AC17" s="157">
        <f t="shared" si="21"/>
        <v>314074287.1</v>
      </c>
      <c r="AD17" s="159">
        <f t="shared" si="15"/>
        <v>46109</v>
      </c>
      <c r="AL17" s="130"/>
      <c r="AM17" s="130"/>
      <c r="AN17" s="130"/>
      <c r="AO17" s="130"/>
      <c r="AP17" s="130"/>
    </row>
    <row r="18">
      <c r="A18" s="130"/>
      <c r="B18" s="167" t="s">
        <v>139</v>
      </c>
      <c r="C18" s="172">
        <f t="shared" si="30"/>
        <v>502935500.8</v>
      </c>
      <c r="D18" s="175">
        <f t="shared" si="23"/>
        <v>502935500.8</v>
      </c>
      <c r="E18" s="175">
        <f t="shared" si="24"/>
        <v>503591152.1</v>
      </c>
      <c r="F18" s="146">
        <f t="shared" si="22"/>
        <v>655651.328</v>
      </c>
      <c r="G18" s="176">
        <f t="array" ref="G18">xlookup($B18,'MUFAP Data'!$C:$C,'MUFAP Data'!H:H,0,0)/100</f>
        <v>0.1912</v>
      </c>
      <c r="H18" s="176">
        <f t="array" ref="H18">xlookup($B18,'MUFAP Data'!$C:$C,'MUFAP Data'!I:I,0,0)/100</f>
        <v>0.0561</v>
      </c>
      <c r="I18" s="176">
        <f t="array" ref="I18">xlookup($B18,'MUFAP Data'!$C:$C,'MUFAP Data'!J:J,0,0)/100</f>
        <v>0.0854</v>
      </c>
      <c r="J18" s="176">
        <f t="array" ref="J18">xlookup($B18,'MUFAP Data'!$C:$C,'MUFAP Data'!K:K,0,0)/100</f>
        <v>0.0626</v>
      </c>
      <c r="K18" s="177">
        <v>62.21</v>
      </c>
      <c r="L18" s="178">
        <f t="array" ref="L18">xlookup($B18,'MUFAP Data'!$C:$C,'MUFAP Data'!G:G,0,0)</f>
        <v>62.2911</v>
      </c>
      <c r="M18" s="144">
        <v>8084480.0</v>
      </c>
      <c r="N18" s="147"/>
      <c r="O18" s="147"/>
      <c r="P18" s="180">
        <f t="shared" si="25"/>
        <v>0.06797597998</v>
      </c>
      <c r="Q18" s="170">
        <v>0.07</v>
      </c>
      <c r="R18" s="165">
        <f t="shared" si="26"/>
        <v>0.1912</v>
      </c>
      <c r="S18" s="165">
        <f t="shared" si="27"/>
        <v>0.07</v>
      </c>
      <c r="T18" s="165">
        <f t="shared" si="28"/>
        <v>0.0854</v>
      </c>
      <c r="U18" s="166">
        <f>0.22*365</f>
        <v>80.3</v>
      </c>
      <c r="V18" s="166">
        <f t="shared" si="29"/>
        <v>80.3</v>
      </c>
      <c r="W18" s="149">
        <f t="shared" si="10"/>
        <v>0.05382888142</v>
      </c>
      <c r="X18" s="153">
        <f t="shared" si="11"/>
        <v>10354.2106</v>
      </c>
      <c r="Y18" s="153">
        <f t="shared" si="12"/>
        <v>0.2056074766</v>
      </c>
      <c r="Z18" s="154">
        <f t="shared" si="13"/>
        <v>0.04227443445</v>
      </c>
      <c r="AA18" s="130"/>
      <c r="AB18" s="130"/>
      <c r="AC18" s="157">
        <f t="shared" si="21"/>
        <v>503591152.1</v>
      </c>
      <c r="AD18" s="159">
        <f t="shared" si="15"/>
        <v>46109</v>
      </c>
      <c r="AL18" s="130"/>
      <c r="AM18" s="130"/>
      <c r="AN18" s="130"/>
      <c r="AO18" s="130"/>
      <c r="AP18" s="130"/>
    </row>
    <row r="19">
      <c r="A19" s="130"/>
      <c r="B19" s="162" t="s">
        <v>142</v>
      </c>
      <c r="C19" s="172">
        <f t="shared" si="30"/>
        <v>820147828.8</v>
      </c>
      <c r="D19" s="175">
        <f t="shared" si="23"/>
        <v>820147828.8</v>
      </c>
      <c r="E19" s="175">
        <f t="shared" si="24"/>
        <v>822139261.3</v>
      </c>
      <c r="F19" s="146">
        <f t="shared" si="22"/>
        <v>1991432.509</v>
      </c>
      <c r="G19" s="176">
        <f t="array" ref="G19">xlookup($B19,'MUFAP Data'!$C:$C,'MUFAP Data'!H:H,0,0)/100</f>
        <v>0.1201</v>
      </c>
      <c r="H19" s="176">
        <f t="array" ref="H19">xlookup($B19,'MUFAP Data'!$C:$C,'MUFAP Data'!I:I,0,0)/100</f>
        <v>0.0999</v>
      </c>
      <c r="I19" s="176">
        <f t="array" ref="I19">xlookup($B19,'MUFAP Data'!$C:$C,'MUFAP Data'!J:J,0,0)/100</f>
        <v>0.0931</v>
      </c>
      <c r="J19" s="176">
        <f t="array" ref="J19">xlookup($B19,'MUFAP Data'!$C:$C,'MUFAP Data'!K:K,0,0)/100</f>
        <v>0.0992</v>
      </c>
      <c r="K19" s="177">
        <v>108.89</v>
      </c>
      <c r="L19" s="178">
        <f t="array" ref="L19">xlookup($B19,'MUFAP Data'!$C:$C,'MUFAP Data'!G:G,0,0)</f>
        <v>109.1544</v>
      </c>
      <c r="M19" s="144">
        <v>7531893.0</v>
      </c>
      <c r="N19" s="147"/>
      <c r="O19" s="147"/>
      <c r="P19" s="180">
        <f t="shared" si="25"/>
        <v>0.1266100783</v>
      </c>
      <c r="Q19" s="170">
        <v>0.07</v>
      </c>
      <c r="R19" s="165">
        <f t="shared" si="26"/>
        <v>0.1201</v>
      </c>
      <c r="S19" s="165">
        <f t="shared" si="27"/>
        <v>0.07</v>
      </c>
      <c r="T19" s="165">
        <f t="shared" si="28"/>
        <v>0.0931</v>
      </c>
      <c r="U19" s="166">
        <v>1.0</v>
      </c>
      <c r="V19" s="166">
        <f t="shared" si="29"/>
        <v>1</v>
      </c>
      <c r="W19" s="149">
        <f t="shared" si="10"/>
        <v>0.08777992436</v>
      </c>
      <c r="X19" s="153">
        <f t="shared" si="11"/>
        <v>210.5080684</v>
      </c>
      <c r="Y19" s="153">
        <f t="shared" si="12"/>
        <v>0.002560491614</v>
      </c>
      <c r="Z19" s="154">
        <f t="shared" si="13"/>
        <v>0.000006556117307</v>
      </c>
      <c r="AA19" s="130"/>
      <c r="AB19" s="130"/>
      <c r="AC19" s="157">
        <f t="shared" si="21"/>
        <v>822139261.3</v>
      </c>
      <c r="AD19" s="159">
        <f t="shared" si="15"/>
        <v>46109</v>
      </c>
      <c r="AL19" s="130"/>
      <c r="AM19" s="130"/>
      <c r="AN19" s="130"/>
      <c r="AO19" s="130"/>
      <c r="AP19" s="130"/>
    </row>
    <row r="20">
      <c r="A20" s="130"/>
      <c r="B20" s="181" t="s">
        <v>141</v>
      </c>
      <c r="C20" s="182">
        <v>2.75E8</v>
      </c>
      <c r="D20" s="183">
        <f>(C20*Q20/365*(IF(N20&lt;$AD$7-7,($AD$7-N20-7),($AD$7-N20)))*(1-25%))+C20</f>
        <v>276775219.2</v>
      </c>
      <c r="E20" s="184">
        <f>(C20*Q20*($AD$7-N20)/365*(1-20%))+C20</f>
        <v>277445857.5</v>
      </c>
      <c r="F20" s="146">
        <f t="shared" si="22"/>
        <v>670638.3562</v>
      </c>
      <c r="G20" s="185"/>
      <c r="H20" s="185"/>
      <c r="I20" s="185"/>
      <c r="J20" s="185"/>
      <c r="K20" s="185"/>
      <c r="L20" s="185"/>
      <c r="M20" s="185"/>
      <c r="N20" s="185">
        <v>46078.0</v>
      </c>
      <c r="O20" s="186">
        <f>N20+180</f>
        <v>46258</v>
      </c>
      <c r="P20" s="187">
        <f>(E20-D20)/C20*365/7</f>
        <v>0.12716</v>
      </c>
      <c r="Q20" s="188">
        <v>0.1309</v>
      </c>
      <c r="R20" s="189">
        <f>S20</f>
        <v>0.12716</v>
      </c>
      <c r="S20" s="165">
        <f>P20</f>
        <v>0.12716</v>
      </c>
      <c r="T20" s="189">
        <f>S20</f>
        <v>0.12716</v>
      </c>
      <c r="U20" s="190">
        <f>O20-N20</f>
        <v>180</v>
      </c>
      <c r="V20" s="190">
        <f>O20-$AD$7</f>
        <v>149</v>
      </c>
      <c r="W20" s="191">
        <f t="shared" si="10"/>
        <v>0.0294330831</v>
      </c>
      <c r="X20" s="153">
        <f t="shared" si="11"/>
        <v>10014.91908</v>
      </c>
      <c r="Y20" s="192">
        <f t="shared" si="12"/>
        <v>0.3609684128</v>
      </c>
      <c r="Z20" s="154">
        <f t="shared" si="13"/>
        <v>0.1302981951</v>
      </c>
      <c r="AA20" s="130"/>
      <c r="AB20" s="130"/>
      <c r="AC20" s="157">
        <f t="shared" si="21"/>
        <v>277445857.5</v>
      </c>
      <c r="AD20" s="159">
        <f t="shared" si="15"/>
        <v>46109</v>
      </c>
      <c r="AE20" s="193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</row>
    <row r="21">
      <c r="A21" s="130"/>
      <c r="B21" s="194" t="s">
        <v>174</v>
      </c>
      <c r="C21" s="195">
        <f t="shared" ref="C21:F21" si="31">SUM(C7:C20)</f>
        <v>9343227791</v>
      </c>
      <c r="D21" s="195">
        <f t="shared" si="31"/>
        <v>9512946015</v>
      </c>
      <c r="E21" s="195">
        <f t="shared" si="31"/>
        <v>9530065914</v>
      </c>
      <c r="F21" s="195">
        <f t="shared" si="31"/>
        <v>17481432.09</v>
      </c>
      <c r="G21" s="196"/>
      <c r="H21" s="196"/>
      <c r="I21" s="196"/>
      <c r="J21" s="196"/>
      <c r="K21" s="196"/>
      <c r="L21" s="196"/>
      <c r="M21" s="196"/>
      <c r="N21" s="196"/>
      <c r="O21" s="196"/>
      <c r="P21" s="197">
        <f>sumproduct(P7:P20,W7:W20)</f>
        <v>0.09753058586</v>
      </c>
      <c r="Q21" s="197">
        <f t="shared" ref="Q21:T21" si="32">sumproduct(Q7:Q20,$W$7:$W$20)</f>
        <v>0.09725045229</v>
      </c>
      <c r="R21" s="197">
        <f t="shared" si="32"/>
        <v>0.1069007034</v>
      </c>
      <c r="S21" s="197">
        <f t="shared" si="32"/>
        <v>0.09383928149</v>
      </c>
      <c r="T21" s="197">
        <f t="shared" si="32"/>
        <v>0.06647869137</v>
      </c>
      <c r="U21" s="198">
        <f>sumproduct(U7:U20,W7:W20)</f>
        <v>223.5417827</v>
      </c>
      <c r="V21" s="198">
        <f>sumproduct(V7:V20,W7:W20)</f>
        <v>159.2662337</v>
      </c>
      <c r="W21" s="197">
        <f t="shared" ref="W21:X21" si="33">SUM(W7:W20)</f>
        <v>1</v>
      </c>
      <c r="X21" s="199">
        <f t="shared" si="33"/>
        <v>377402.9527</v>
      </c>
      <c r="Y21" s="199">
        <f t="shared" ref="Y21:Z21" si="34">sumproduct(Y7:Y20,$W$7:$W$20)</f>
        <v>0.3964823213</v>
      </c>
      <c r="Z21" s="199">
        <f t="shared" si="34"/>
        <v>0.2677246302</v>
      </c>
      <c r="AA21" s="200"/>
      <c r="AB21" s="200"/>
      <c r="AC21" s="195">
        <f>SUM(AC7:AC20)</f>
        <v>9495518070</v>
      </c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</row>
    <row r="22">
      <c r="A22" s="130"/>
      <c r="B22" s="201" t="s">
        <v>175</v>
      </c>
      <c r="C22" s="202"/>
      <c r="D22" s="200"/>
      <c r="E22" s="200"/>
      <c r="F22" s="203"/>
      <c r="G22" s="200"/>
      <c r="H22" s="200"/>
      <c r="I22" s="200"/>
      <c r="J22" s="200"/>
      <c r="K22" s="200"/>
      <c r="L22" s="200"/>
      <c r="M22" s="200"/>
      <c r="N22" s="204"/>
      <c r="O22" s="204"/>
      <c r="P22" s="205"/>
      <c r="Q22" s="206"/>
      <c r="R22" s="200"/>
      <c r="S22" s="200"/>
      <c r="T22" s="200"/>
      <c r="U22" s="200"/>
      <c r="V22" s="207"/>
      <c r="W22" s="200"/>
      <c r="X22" s="200"/>
      <c r="Y22" s="200"/>
      <c r="Z22" s="200"/>
      <c r="AA22" s="200"/>
      <c r="AB22" s="200"/>
      <c r="AC22" s="20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</row>
    <row r="23">
      <c r="A23" s="130"/>
      <c r="B23" s="155" t="s">
        <v>176</v>
      </c>
      <c r="C23" s="182">
        <v>1.238E9</v>
      </c>
      <c r="D23" s="157">
        <f t="shared" ref="D23:E23" si="35">C23</f>
        <v>1238000000</v>
      </c>
      <c r="E23" s="157">
        <f t="shared" si="35"/>
        <v>1238000000</v>
      </c>
      <c r="F23" s="146">
        <f>E23*7/365*Q23</f>
        <v>-2511952.877</v>
      </c>
      <c r="G23" s="130"/>
      <c r="H23" s="130"/>
      <c r="I23" s="130"/>
      <c r="J23" s="130"/>
      <c r="K23" s="130"/>
      <c r="L23" s="130"/>
      <c r="M23" s="130"/>
      <c r="N23" s="208">
        <f t="shared" ref="N23:O23" si="36">N15</f>
        <v>46082</v>
      </c>
      <c r="O23" s="208">
        <f t="shared" si="36"/>
        <v>46112</v>
      </c>
      <c r="P23" s="191"/>
      <c r="Q23" s="209">
        <v>-0.1058</v>
      </c>
      <c r="R23" s="130"/>
      <c r="S23" s="130"/>
      <c r="T23" s="130"/>
      <c r="U23" s="130"/>
      <c r="V23" s="210"/>
      <c r="W23" s="130"/>
      <c r="X23" s="130"/>
      <c r="Y23" s="130"/>
      <c r="Z23" s="130"/>
      <c r="AA23" s="130"/>
      <c r="AB23" s="130"/>
      <c r="AC23" s="157">
        <f>C23</f>
        <v>1238000000</v>
      </c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</row>
    <row r="24">
      <c r="A24" s="130"/>
      <c r="B24" s="130"/>
      <c r="C24" s="130"/>
      <c r="D24" s="130"/>
      <c r="E24" s="130"/>
      <c r="F24" s="146">
        <f>F21+F23</f>
        <v>14969479.22</v>
      </c>
      <c r="G24" s="155"/>
      <c r="H24" s="130"/>
      <c r="I24" s="130"/>
      <c r="J24" s="130"/>
      <c r="K24" s="130"/>
      <c r="L24" s="130"/>
      <c r="M24" s="130"/>
      <c r="N24" s="130"/>
      <c r="O24" s="130"/>
      <c r="P24" s="211">
        <f>(F21+F23)/(C21-C23)*365/7</f>
        <v>0.09630221833</v>
      </c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</row>
    <row r="25">
      <c r="A25" s="130"/>
      <c r="B25" s="130"/>
      <c r="C25" s="130"/>
      <c r="D25" s="130"/>
      <c r="E25" s="130"/>
      <c r="F25" s="193">
        <f>F23/7*90</f>
        <v>-32296536.99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</row>
    <row r="26">
      <c r="A26" s="130"/>
      <c r="B26" s="136" t="s">
        <v>177</v>
      </c>
      <c r="C26" s="130"/>
      <c r="D26" s="193">
        <f t="shared" ref="D26:E26" si="37">(D21-D23)/D27</f>
        <v>82.74946015</v>
      </c>
      <c r="E26" s="193">
        <f t="shared" si="37"/>
        <v>82.92065914</v>
      </c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93">
        <f>(AC21-AC23)/AC27</f>
        <v>82.5751807</v>
      </c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</row>
    <row r="27">
      <c r="A27" s="130"/>
      <c r="B27" s="155" t="s">
        <v>178</v>
      </c>
      <c r="D27" s="212">
        <f t="shared" ref="D27:E27" si="38">10^8</f>
        <v>100000000</v>
      </c>
      <c r="E27" s="212">
        <f t="shared" si="38"/>
        <v>100000000</v>
      </c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212">
        <f>10^8</f>
        <v>100000000</v>
      </c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</row>
    <row r="28">
      <c r="A28" s="130"/>
      <c r="B28" s="130"/>
      <c r="C28" s="130"/>
      <c r="E28" s="213">
        <f>E26/D26-1</f>
        <v>0.002068883432</v>
      </c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213">
        <f>AC26/E26-1</f>
        <v>-0.004166373614</v>
      </c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</row>
    <row r="29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</row>
    <row r="30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</row>
    <row r="31">
      <c r="A31" s="130"/>
      <c r="B31" s="136" t="s">
        <v>179</v>
      </c>
      <c r="C31" s="214">
        <f>C34-1%</f>
        <v>0.1038</v>
      </c>
      <c r="D31" s="130"/>
      <c r="E31" s="130"/>
      <c r="F31" s="130"/>
      <c r="G31" s="130"/>
      <c r="H31" s="155"/>
      <c r="I31" s="155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</row>
    <row r="32">
      <c r="A32" s="130"/>
      <c r="B32" s="155" t="s">
        <v>121</v>
      </c>
      <c r="C32" s="213">
        <f>T21-C31</f>
        <v>-0.03732130863</v>
      </c>
      <c r="E32" s="215"/>
      <c r="F32" s="130"/>
      <c r="G32" s="130"/>
      <c r="H32" s="155"/>
      <c r="I32" s="155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</row>
    <row r="33">
      <c r="A33" s="130"/>
      <c r="B33" s="155"/>
      <c r="C33" s="155"/>
      <c r="D33" s="155"/>
      <c r="E33" s="130"/>
      <c r="F33" s="130"/>
      <c r="G33" s="130"/>
      <c r="H33" s="130"/>
      <c r="I33" s="155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</row>
    <row r="34">
      <c r="A34" s="130"/>
      <c r="B34" s="155" t="s">
        <v>180</v>
      </c>
      <c r="C34" s="216" t="str">
        <f>IFERROR(__xludf.DUMMYFUNCTION("ai(""Write today's 3 month KIBOR in the active cell"",C36)"),"11.38%")</f>
        <v>11.38%</v>
      </c>
      <c r="E34" s="130"/>
      <c r="F34" s="130"/>
      <c r="G34" s="130"/>
      <c r="H34" s="130"/>
      <c r="I34" s="155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</row>
    <row r="35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</row>
    <row r="36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</row>
    <row r="37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</row>
    <row r="38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</row>
    <row r="39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</row>
    <row r="40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</row>
    <row r="4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</row>
    <row r="42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</row>
    <row r="43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</row>
    <row r="44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</row>
    <row r="45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</row>
    <row r="46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</row>
    <row r="47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</row>
    <row r="48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</row>
    <row r="49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</row>
    <row r="50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</row>
    <row r="5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</row>
    <row r="52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</row>
    <row r="53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</row>
    <row r="54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</row>
    <row r="55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</row>
    <row r="56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</row>
    <row r="57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</row>
    <row r="58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</row>
    <row r="59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</row>
    <row r="60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</row>
    <row r="6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</row>
    <row r="62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</row>
    <row r="63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</row>
    <row r="64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</row>
    <row r="65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</row>
    <row r="66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</row>
    <row r="67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</row>
    <row r="68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</row>
    <row r="69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</row>
    <row r="70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</row>
    <row r="7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</row>
    <row r="72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</row>
    <row r="73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</row>
    <row r="74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</row>
    <row r="7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</row>
    <row r="76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</row>
    <row r="77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</row>
    <row r="78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</row>
    <row r="79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</row>
    <row r="80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</row>
    <row r="8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</row>
    <row r="82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</row>
    <row r="83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</row>
    <row r="84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</row>
    <row r="85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</row>
    <row r="86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</row>
    <row r="87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</row>
    <row r="88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</row>
    <row r="89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</row>
    <row r="90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</row>
    <row r="9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</row>
    <row r="92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</row>
    <row r="93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</row>
    <row r="94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</row>
    <row r="95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</row>
    <row r="96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</row>
    <row r="97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</row>
    <row r="98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</row>
    <row r="99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</row>
    <row r="100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</row>
    <row r="10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</row>
    <row r="102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</row>
    <row r="103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</row>
    <row r="104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</row>
    <row r="105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</row>
    <row r="10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</row>
    <row r="107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</row>
    <row r="108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</row>
    <row r="109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</row>
    <row r="110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</row>
    <row r="11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</row>
    <row r="112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</row>
    <row r="113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</row>
    <row r="114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</row>
    <row r="1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</row>
    <row r="11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</row>
    <row r="117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</row>
    <row r="118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</row>
    <row r="119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</row>
    <row r="120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</row>
    <row r="12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</row>
    <row r="122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</row>
    <row r="123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</row>
    <row r="124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</row>
    <row r="12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</row>
    <row r="12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</row>
    <row r="127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</row>
    <row r="128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</row>
    <row r="129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</row>
    <row r="130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</row>
    <row r="13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</row>
    <row r="132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</row>
    <row r="133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</row>
    <row r="134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</row>
    <row r="13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</row>
    <row r="13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</row>
    <row r="137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</row>
    <row r="138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</row>
    <row r="139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</row>
    <row r="140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</row>
    <row r="14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</row>
    <row r="142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</row>
    <row r="143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</row>
    <row r="144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</row>
    <row r="14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</row>
    <row r="14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</row>
    <row r="147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</row>
    <row r="148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</row>
    <row r="15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</row>
    <row r="152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</row>
    <row r="153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</row>
    <row r="154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</row>
    <row r="15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</row>
    <row r="15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</row>
    <row r="157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</row>
    <row r="158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</row>
    <row r="159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</row>
    <row r="160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</row>
    <row r="16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</row>
    <row r="162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</row>
    <row r="163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</row>
    <row r="164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</row>
    <row r="16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</row>
    <row r="1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</row>
    <row r="167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</row>
    <row r="168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</row>
    <row r="169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</row>
    <row r="170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</row>
    <row r="17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</row>
    <row r="172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</row>
    <row r="173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</row>
    <row r="174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</row>
    <row r="17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</row>
    <row r="17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</row>
    <row r="177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</row>
    <row r="178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</row>
    <row r="179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</row>
    <row r="180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</row>
    <row r="18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</row>
    <row r="182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</row>
    <row r="183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</row>
    <row r="184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</row>
    <row r="18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</row>
    <row r="18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</row>
    <row r="187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</row>
    <row r="188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</row>
    <row r="189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</row>
    <row r="190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</row>
    <row r="19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</row>
    <row r="192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</row>
    <row r="193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</row>
    <row r="194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</row>
    <row r="19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</row>
    <row r="19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</row>
    <row r="197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</row>
    <row r="198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</row>
    <row r="199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</row>
    <row r="200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</row>
    <row r="20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</row>
    <row r="202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</row>
    <row r="203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</row>
    <row r="204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</row>
    <row r="20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</row>
    <row r="20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</row>
    <row r="207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</row>
    <row r="208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</row>
    <row r="209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</row>
    <row r="210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</row>
    <row r="21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</row>
    <row r="212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30"/>
      <c r="AK245" s="130"/>
      <c r="AL245" s="130"/>
      <c r="AM245" s="130"/>
      <c r="AN245" s="130"/>
      <c r="AO245" s="130"/>
      <c r="AP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  <c r="AH246" s="130"/>
      <c r="AI246" s="130"/>
      <c r="AJ246" s="130"/>
      <c r="AK246" s="130"/>
      <c r="AL246" s="130"/>
      <c r="AM246" s="130"/>
      <c r="AN246" s="130"/>
      <c r="AO246" s="130"/>
      <c r="AP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0"/>
      <c r="AK247" s="130"/>
      <c r="AL247" s="130"/>
      <c r="AM247" s="130"/>
      <c r="AN247" s="130"/>
      <c r="AO247" s="130"/>
      <c r="AP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  <c r="AH248" s="130"/>
      <c r="AI248" s="130"/>
      <c r="AJ248" s="130"/>
      <c r="AK248" s="130"/>
      <c r="AL248" s="130"/>
      <c r="AM248" s="130"/>
      <c r="AN248" s="130"/>
      <c r="AO248" s="130"/>
      <c r="AP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  <c r="AH249" s="130"/>
      <c r="AI249" s="130"/>
      <c r="AJ249" s="130"/>
      <c r="AK249" s="130"/>
      <c r="AL249" s="130"/>
      <c r="AM249" s="130"/>
      <c r="AN249" s="130"/>
      <c r="AO249" s="130"/>
      <c r="AP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  <c r="AH250" s="130"/>
      <c r="AI250" s="130"/>
      <c r="AJ250" s="130"/>
      <c r="AK250" s="130"/>
      <c r="AL250" s="130"/>
      <c r="AM250" s="130"/>
      <c r="AN250" s="130"/>
      <c r="AO250" s="130"/>
      <c r="AP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  <c r="AH251" s="130"/>
      <c r="AI251" s="130"/>
      <c r="AJ251" s="130"/>
      <c r="AK251" s="130"/>
      <c r="AL251" s="130"/>
      <c r="AM251" s="130"/>
      <c r="AN251" s="130"/>
      <c r="AO251" s="130"/>
      <c r="AP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  <c r="AM252" s="130"/>
      <c r="AN252" s="130"/>
      <c r="AO252" s="130"/>
      <c r="AP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  <c r="AH253" s="130"/>
      <c r="AI253" s="130"/>
      <c r="AJ253" s="130"/>
      <c r="AK253" s="130"/>
      <c r="AL253" s="130"/>
      <c r="AM253" s="130"/>
      <c r="AN253" s="130"/>
      <c r="AO253" s="130"/>
      <c r="AP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  <c r="AH254" s="130"/>
      <c r="AI254" s="130"/>
      <c r="AJ254" s="130"/>
      <c r="AK254" s="130"/>
      <c r="AL254" s="130"/>
      <c r="AM254" s="130"/>
      <c r="AN254" s="130"/>
      <c r="AO254" s="130"/>
      <c r="AP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  <c r="AH255" s="130"/>
      <c r="AI255" s="130"/>
      <c r="AJ255" s="130"/>
      <c r="AK255" s="130"/>
      <c r="AL255" s="130"/>
      <c r="AM255" s="130"/>
      <c r="AN255" s="130"/>
      <c r="AO255" s="130"/>
      <c r="AP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  <c r="AH256" s="130"/>
      <c r="AI256" s="130"/>
      <c r="AJ256" s="130"/>
      <c r="AK256" s="130"/>
      <c r="AL256" s="130"/>
      <c r="AM256" s="130"/>
      <c r="AN256" s="130"/>
      <c r="AO256" s="130"/>
      <c r="AP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  <c r="AH257" s="130"/>
      <c r="AI257" s="130"/>
      <c r="AJ257" s="130"/>
      <c r="AK257" s="130"/>
      <c r="AL257" s="130"/>
      <c r="AM257" s="130"/>
      <c r="AN257" s="130"/>
      <c r="AO257" s="130"/>
      <c r="AP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  <c r="AH258" s="130"/>
      <c r="AI258" s="130"/>
      <c r="AJ258" s="130"/>
      <c r="AK258" s="130"/>
      <c r="AL258" s="130"/>
      <c r="AM258" s="130"/>
      <c r="AN258" s="130"/>
      <c r="AO258" s="130"/>
      <c r="AP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  <c r="AH259" s="130"/>
      <c r="AI259" s="130"/>
      <c r="AJ259" s="130"/>
      <c r="AK259" s="130"/>
      <c r="AL259" s="130"/>
      <c r="AM259" s="130"/>
      <c r="AN259" s="130"/>
      <c r="AO259" s="130"/>
      <c r="AP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  <c r="AH260" s="130"/>
      <c r="AI260" s="130"/>
      <c r="AJ260" s="130"/>
      <c r="AK260" s="130"/>
      <c r="AL260" s="130"/>
      <c r="AM260" s="130"/>
      <c r="AN260" s="130"/>
      <c r="AO260" s="130"/>
      <c r="AP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30"/>
      <c r="AK261" s="130"/>
      <c r="AL261" s="130"/>
      <c r="AM261" s="130"/>
      <c r="AN261" s="130"/>
      <c r="AO261" s="130"/>
      <c r="AP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  <c r="AH262" s="130"/>
      <c r="AI262" s="130"/>
      <c r="AJ262" s="130"/>
      <c r="AK262" s="130"/>
      <c r="AL262" s="130"/>
      <c r="AM262" s="130"/>
      <c r="AN262" s="130"/>
      <c r="AO262" s="130"/>
      <c r="AP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30"/>
      <c r="AK263" s="130"/>
      <c r="AL263" s="130"/>
      <c r="AM263" s="130"/>
      <c r="AN263" s="130"/>
      <c r="AO263" s="130"/>
      <c r="AP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  <c r="AG264" s="130"/>
      <c r="AH264" s="130"/>
      <c r="AI264" s="130"/>
      <c r="AJ264" s="130"/>
      <c r="AK264" s="130"/>
      <c r="AL264" s="130"/>
      <c r="AM264" s="130"/>
      <c r="AN264" s="130"/>
      <c r="AO264" s="130"/>
      <c r="AP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  <c r="AG265" s="130"/>
      <c r="AH265" s="130"/>
      <c r="AI265" s="130"/>
      <c r="AJ265" s="130"/>
      <c r="AK265" s="130"/>
      <c r="AL265" s="130"/>
      <c r="AM265" s="130"/>
      <c r="AN265" s="130"/>
      <c r="AO265" s="130"/>
      <c r="AP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  <c r="AG266" s="130"/>
      <c r="AH266" s="130"/>
      <c r="AI266" s="130"/>
      <c r="AJ266" s="130"/>
      <c r="AK266" s="130"/>
      <c r="AL266" s="130"/>
      <c r="AM266" s="130"/>
      <c r="AN266" s="130"/>
      <c r="AO266" s="130"/>
      <c r="AP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  <c r="AG267" s="130"/>
      <c r="AH267" s="130"/>
      <c r="AI267" s="130"/>
      <c r="AJ267" s="130"/>
      <c r="AK267" s="130"/>
      <c r="AL267" s="130"/>
      <c r="AM267" s="130"/>
      <c r="AN267" s="130"/>
      <c r="AO267" s="130"/>
      <c r="AP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  <c r="AG268" s="130"/>
      <c r="AH268" s="130"/>
      <c r="AI268" s="130"/>
      <c r="AJ268" s="130"/>
      <c r="AK268" s="130"/>
      <c r="AL268" s="130"/>
      <c r="AM268" s="130"/>
      <c r="AN268" s="130"/>
      <c r="AO268" s="130"/>
      <c r="AP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  <c r="AG269" s="130"/>
      <c r="AH269" s="130"/>
      <c r="AI269" s="130"/>
      <c r="AJ269" s="130"/>
      <c r="AK269" s="130"/>
      <c r="AL269" s="130"/>
      <c r="AM269" s="130"/>
      <c r="AN269" s="130"/>
      <c r="AO269" s="130"/>
      <c r="AP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  <c r="AG270" s="130"/>
      <c r="AH270" s="130"/>
      <c r="AI270" s="130"/>
      <c r="AJ270" s="130"/>
      <c r="AK270" s="130"/>
      <c r="AL270" s="130"/>
      <c r="AM270" s="130"/>
      <c r="AN270" s="130"/>
      <c r="AO270" s="130"/>
      <c r="AP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  <c r="AG271" s="130"/>
      <c r="AH271" s="130"/>
      <c r="AI271" s="130"/>
      <c r="AJ271" s="130"/>
      <c r="AK271" s="130"/>
      <c r="AL271" s="130"/>
      <c r="AM271" s="130"/>
      <c r="AN271" s="130"/>
      <c r="AO271" s="130"/>
      <c r="AP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  <c r="AG272" s="130"/>
      <c r="AH272" s="130"/>
      <c r="AI272" s="130"/>
      <c r="AJ272" s="130"/>
      <c r="AK272" s="130"/>
      <c r="AL272" s="130"/>
      <c r="AM272" s="130"/>
      <c r="AN272" s="130"/>
      <c r="AO272" s="130"/>
      <c r="AP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  <c r="AG273" s="130"/>
      <c r="AH273" s="130"/>
      <c r="AI273" s="130"/>
      <c r="AJ273" s="130"/>
      <c r="AK273" s="130"/>
      <c r="AL273" s="130"/>
      <c r="AM273" s="130"/>
      <c r="AN273" s="130"/>
      <c r="AO273" s="130"/>
      <c r="AP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  <c r="AH274" s="130"/>
      <c r="AI274" s="130"/>
      <c r="AJ274" s="130"/>
      <c r="AK274" s="130"/>
      <c r="AL274" s="130"/>
      <c r="AM274" s="130"/>
      <c r="AN274" s="130"/>
      <c r="AO274" s="130"/>
      <c r="AP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  <c r="AG275" s="130"/>
      <c r="AH275" s="130"/>
      <c r="AI275" s="130"/>
      <c r="AJ275" s="130"/>
      <c r="AK275" s="130"/>
      <c r="AL275" s="130"/>
      <c r="AM275" s="130"/>
      <c r="AN275" s="130"/>
      <c r="AO275" s="130"/>
      <c r="AP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  <c r="AH276" s="130"/>
      <c r="AI276" s="130"/>
      <c r="AJ276" s="130"/>
      <c r="AK276" s="130"/>
      <c r="AL276" s="130"/>
      <c r="AM276" s="130"/>
      <c r="AN276" s="130"/>
      <c r="AO276" s="130"/>
      <c r="AP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  <c r="AG277" s="130"/>
      <c r="AH277" s="130"/>
      <c r="AI277" s="130"/>
      <c r="AJ277" s="130"/>
      <c r="AK277" s="130"/>
      <c r="AL277" s="130"/>
      <c r="AM277" s="130"/>
      <c r="AN277" s="130"/>
      <c r="AO277" s="130"/>
      <c r="AP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  <c r="AG278" s="130"/>
      <c r="AH278" s="130"/>
      <c r="AI278" s="130"/>
      <c r="AJ278" s="130"/>
      <c r="AK278" s="130"/>
      <c r="AL278" s="130"/>
      <c r="AM278" s="130"/>
      <c r="AN278" s="130"/>
      <c r="AO278" s="130"/>
      <c r="AP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  <c r="AG279" s="130"/>
      <c r="AH279" s="130"/>
      <c r="AI279" s="130"/>
      <c r="AJ279" s="130"/>
      <c r="AK279" s="130"/>
      <c r="AL279" s="130"/>
      <c r="AM279" s="130"/>
      <c r="AN279" s="130"/>
      <c r="AO279" s="130"/>
      <c r="AP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  <c r="AG280" s="130"/>
      <c r="AH280" s="130"/>
      <c r="AI280" s="130"/>
      <c r="AJ280" s="130"/>
      <c r="AK280" s="130"/>
      <c r="AL280" s="130"/>
      <c r="AM280" s="130"/>
      <c r="AN280" s="130"/>
      <c r="AO280" s="130"/>
      <c r="AP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  <c r="AH281" s="130"/>
      <c r="AI281" s="130"/>
      <c r="AJ281" s="130"/>
      <c r="AK281" s="130"/>
      <c r="AL281" s="130"/>
      <c r="AM281" s="130"/>
      <c r="AN281" s="130"/>
      <c r="AO281" s="130"/>
      <c r="AP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  <c r="AG282" s="130"/>
      <c r="AH282" s="130"/>
      <c r="AI282" s="130"/>
      <c r="AJ282" s="130"/>
      <c r="AK282" s="130"/>
      <c r="AL282" s="130"/>
      <c r="AM282" s="130"/>
      <c r="AN282" s="130"/>
      <c r="AO282" s="130"/>
      <c r="AP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  <c r="AG283" s="130"/>
      <c r="AH283" s="130"/>
      <c r="AI283" s="130"/>
      <c r="AJ283" s="130"/>
      <c r="AK283" s="130"/>
      <c r="AL283" s="130"/>
      <c r="AM283" s="130"/>
      <c r="AN283" s="130"/>
      <c r="AO283" s="130"/>
      <c r="AP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  <c r="AG284" s="130"/>
      <c r="AH284" s="130"/>
      <c r="AI284" s="130"/>
      <c r="AJ284" s="130"/>
      <c r="AK284" s="130"/>
      <c r="AL284" s="130"/>
      <c r="AM284" s="130"/>
      <c r="AN284" s="130"/>
      <c r="AO284" s="130"/>
      <c r="AP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  <c r="AG285" s="130"/>
      <c r="AH285" s="130"/>
      <c r="AI285" s="130"/>
      <c r="AJ285" s="130"/>
      <c r="AK285" s="130"/>
      <c r="AL285" s="130"/>
      <c r="AM285" s="130"/>
      <c r="AN285" s="130"/>
      <c r="AO285" s="130"/>
      <c r="AP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  <c r="AG286" s="130"/>
      <c r="AH286" s="130"/>
      <c r="AI286" s="130"/>
      <c r="AJ286" s="130"/>
      <c r="AK286" s="130"/>
      <c r="AL286" s="130"/>
      <c r="AM286" s="130"/>
      <c r="AN286" s="130"/>
      <c r="AO286" s="130"/>
      <c r="AP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  <c r="AG287" s="130"/>
      <c r="AH287" s="130"/>
      <c r="AI287" s="130"/>
      <c r="AJ287" s="130"/>
      <c r="AK287" s="130"/>
      <c r="AL287" s="130"/>
      <c r="AM287" s="130"/>
      <c r="AN287" s="130"/>
      <c r="AO287" s="130"/>
      <c r="AP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  <c r="AG288" s="130"/>
      <c r="AH288" s="130"/>
      <c r="AI288" s="130"/>
      <c r="AJ288" s="130"/>
      <c r="AK288" s="130"/>
      <c r="AL288" s="130"/>
      <c r="AM288" s="130"/>
      <c r="AN288" s="130"/>
      <c r="AO288" s="130"/>
      <c r="AP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  <c r="AG289" s="130"/>
      <c r="AH289" s="130"/>
      <c r="AI289" s="130"/>
      <c r="AJ289" s="130"/>
      <c r="AK289" s="130"/>
      <c r="AL289" s="130"/>
      <c r="AM289" s="130"/>
      <c r="AN289" s="130"/>
      <c r="AO289" s="130"/>
      <c r="AP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  <c r="AG290" s="130"/>
      <c r="AH290" s="130"/>
      <c r="AI290" s="130"/>
      <c r="AJ290" s="130"/>
      <c r="AK290" s="130"/>
      <c r="AL290" s="130"/>
      <c r="AM290" s="130"/>
      <c r="AN290" s="130"/>
      <c r="AO290" s="130"/>
      <c r="AP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  <c r="AG291" s="130"/>
      <c r="AH291" s="130"/>
      <c r="AI291" s="130"/>
      <c r="AJ291" s="130"/>
      <c r="AK291" s="130"/>
      <c r="AL291" s="130"/>
      <c r="AM291" s="130"/>
      <c r="AN291" s="130"/>
      <c r="AO291" s="130"/>
      <c r="AP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  <c r="AG292" s="130"/>
      <c r="AH292" s="130"/>
      <c r="AI292" s="130"/>
      <c r="AJ292" s="130"/>
      <c r="AK292" s="130"/>
      <c r="AL292" s="130"/>
      <c r="AM292" s="130"/>
      <c r="AN292" s="130"/>
      <c r="AO292" s="130"/>
      <c r="AP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  <c r="AG293" s="130"/>
      <c r="AH293" s="130"/>
      <c r="AI293" s="130"/>
      <c r="AJ293" s="130"/>
      <c r="AK293" s="130"/>
      <c r="AL293" s="130"/>
      <c r="AM293" s="130"/>
      <c r="AN293" s="130"/>
      <c r="AO293" s="130"/>
      <c r="AP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  <c r="AG294" s="130"/>
      <c r="AH294" s="130"/>
      <c r="AI294" s="130"/>
      <c r="AJ294" s="130"/>
      <c r="AK294" s="130"/>
      <c r="AL294" s="130"/>
      <c r="AM294" s="130"/>
      <c r="AN294" s="130"/>
      <c r="AO294" s="130"/>
      <c r="AP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  <c r="AG295" s="130"/>
      <c r="AH295" s="130"/>
      <c r="AI295" s="130"/>
      <c r="AJ295" s="130"/>
      <c r="AK295" s="130"/>
      <c r="AL295" s="130"/>
      <c r="AM295" s="130"/>
      <c r="AN295" s="130"/>
      <c r="AO295" s="130"/>
      <c r="AP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  <c r="AG296" s="130"/>
      <c r="AH296" s="130"/>
      <c r="AI296" s="130"/>
      <c r="AJ296" s="130"/>
      <c r="AK296" s="130"/>
      <c r="AL296" s="130"/>
      <c r="AM296" s="130"/>
      <c r="AN296" s="130"/>
      <c r="AO296" s="130"/>
      <c r="AP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  <c r="AG297" s="130"/>
      <c r="AH297" s="130"/>
      <c r="AI297" s="130"/>
      <c r="AJ297" s="130"/>
      <c r="AK297" s="130"/>
      <c r="AL297" s="130"/>
      <c r="AM297" s="130"/>
      <c r="AN297" s="130"/>
      <c r="AO297" s="130"/>
      <c r="AP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  <c r="AG298" s="130"/>
      <c r="AH298" s="130"/>
      <c r="AI298" s="130"/>
      <c r="AJ298" s="130"/>
      <c r="AK298" s="130"/>
      <c r="AL298" s="130"/>
      <c r="AM298" s="130"/>
      <c r="AN298" s="130"/>
      <c r="AO298" s="130"/>
      <c r="AP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  <c r="AG299" s="130"/>
      <c r="AH299" s="130"/>
      <c r="AI299" s="130"/>
      <c r="AJ299" s="130"/>
      <c r="AK299" s="130"/>
      <c r="AL299" s="130"/>
      <c r="AM299" s="130"/>
      <c r="AN299" s="130"/>
      <c r="AO299" s="130"/>
      <c r="AP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  <c r="AG300" s="130"/>
      <c r="AH300" s="130"/>
      <c r="AI300" s="130"/>
      <c r="AJ300" s="130"/>
      <c r="AK300" s="130"/>
      <c r="AL300" s="130"/>
      <c r="AM300" s="130"/>
      <c r="AN300" s="130"/>
      <c r="AO300" s="130"/>
      <c r="AP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  <c r="AG301" s="130"/>
      <c r="AH301" s="130"/>
      <c r="AI301" s="130"/>
      <c r="AJ301" s="130"/>
      <c r="AK301" s="130"/>
      <c r="AL301" s="130"/>
      <c r="AM301" s="130"/>
      <c r="AN301" s="130"/>
      <c r="AO301" s="130"/>
      <c r="AP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  <c r="AK302" s="130"/>
      <c r="AL302" s="130"/>
      <c r="AM302" s="130"/>
      <c r="AN302" s="130"/>
      <c r="AO302" s="130"/>
      <c r="AP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  <c r="AG303" s="130"/>
      <c r="AH303" s="130"/>
      <c r="AI303" s="130"/>
      <c r="AJ303" s="130"/>
      <c r="AK303" s="130"/>
      <c r="AL303" s="130"/>
      <c r="AM303" s="130"/>
      <c r="AN303" s="130"/>
      <c r="AO303" s="130"/>
      <c r="AP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  <c r="AG304" s="130"/>
      <c r="AH304" s="130"/>
      <c r="AI304" s="130"/>
      <c r="AJ304" s="130"/>
      <c r="AK304" s="130"/>
      <c r="AL304" s="130"/>
      <c r="AM304" s="130"/>
      <c r="AN304" s="130"/>
      <c r="AO304" s="130"/>
      <c r="AP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  <c r="AG305" s="130"/>
      <c r="AH305" s="130"/>
      <c r="AI305" s="130"/>
      <c r="AJ305" s="130"/>
      <c r="AK305" s="130"/>
      <c r="AL305" s="130"/>
      <c r="AM305" s="130"/>
      <c r="AN305" s="130"/>
      <c r="AO305" s="130"/>
      <c r="AP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  <c r="AG306" s="130"/>
      <c r="AH306" s="130"/>
      <c r="AI306" s="130"/>
      <c r="AJ306" s="130"/>
      <c r="AK306" s="130"/>
      <c r="AL306" s="130"/>
      <c r="AM306" s="130"/>
      <c r="AN306" s="130"/>
      <c r="AO306" s="130"/>
      <c r="AP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  <c r="AG307" s="130"/>
      <c r="AH307" s="130"/>
      <c r="AI307" s="130"/>
      <c r="AJ307" s="130"/>
      <c r="AK307" s="130"/>
      <c r="AL307" s="130"/>
      <c r="AM307" s="130"/>
      <c r="AN307" s="130"/>
      <c r="AO307" s="130"/>
      <c r="AP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  <c r="AG308" s="130"/>
      <c r="AH308" s="130"/>
      <c r="AI308" s="130"/>
      <c r="AJ308" s="130"/>
      <c r="AK308" s="130"/>
      <c r="AL308" s="130"/>
      <c r="AM308" s="130"/>
      <c r="AN308" s="130"/>
      <c r="AO308" s="130"/>
      <c r="AP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  <c r="AG309" s="130"/>
      <c r="AH309" s="130"/>
      <c r="AI309" s="130"/>
      <c r="AJ309" s="130"/>
      <c r="AK309" s="130"/>
      <c r="AL309" s="130"/>
      <c r="AM309" s="130"/>
      <c r="AN309" s="130"/>
      <c r="AO309" s="130"/>
      <c r="AP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  <c r="AG310" s="130"/>
      <c r="AH310" s="130"/>
      <c r="AI310" s="130"/>
      <c r="AJ310" s="130"/>
      <c r="AK310" s="130"/>
      <c r="AL310" s="130"/>
      <c r="AM310" s="130"/>
      <c r="AN310" s="130"/>
      <c r="AO310" s="130"/>
      <c r="AP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  <c r="AG311" s="130"/>
      <c r="AH311" s="130"/>
      <c r="AI311" s="130"/>
      <c r="AJ311" s="130"/>
      <c r="AK311" s="130"/>
      <c r="AL311" s="130"/>
      <c r="AM311" s="130"/>
      <c r="AN311" s="130"/>
      <c r="AO311" s="130"/>
      <c r="AP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  <c r="AG312" s="130"/>
      <c r="AH312" s="130"/>
      <c r="AI312" s="130"/>
      <c r="AJ312" s="130"/>
      <c r="AK312" s="130"/>
      <c r="AL312" s="130"/>
      <c r="AM312" s="130"/>
      <c r="AN312" s="130"/>
      <c r="AO312" s="130"/>
      <c r="AP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  <c r="AG313" s="130"/>
      <c r="AH313" s="130"/>
      <c r="AI313" s="130"/>
      <c r="AJ313" s="130"/>
      <c r="AK313" s="130"/>
      <c r="AL313" s="130"/>
      <c r="AM313" s="130"/>
      <c r="AN313" s="130"/>
      <c r="AO313" s="130"/>
      <c r="AP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  <c r="AG314" s="130"/>
      <c r="AH314" s="130"/>
      <c r="AI314" s="130"/>
      <c r="AJ314" s="130"/>
      <c r="AK314" s="130"/>
      <c r="AL314" s="130"/>
      <c r="AM314" s="130"/>
      <c r="AN314" s="130"/>
      <c r="AO314" s="130"/>
      <c r="AP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  <c r="AG315" s="130"/>
      <c r="AH315" s="130"/>
      <c r="AI315" s="130"/>
      <c r="AJ315" s="130"/>
      <c r="AK315" s="130"/>
      <c r="AL315" s="130"/>
      <c r="AM315" s="130"/>
      <c r="AN315" s="130"/>
      <c r="AO315" s="130"/>
      <c r="AP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  <c r="AG316" s="130"/>
      <c r="AH316" s="130"/>
      <c r="AI316" s="130"/>
      <c r="AJ316" s="130"/>
      <c r="AK316" s="130"/>
      <c r="AL316" s="130"/>
      <c r="AM316" s="130"/>
      <c r="AN316" s="130"/>
      <c r="AO316" s="130"/>
      <c r="AP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  <c r="AG317" s="130"/>
      <c r="AH317" s="130"/>
      <c r="AI317" s="130"/>
      <c r="AJ317" s="130"/>
      <c r="AK317" s="130"/>
      <c r="AL317" s="130"/>
      <c r="AM317" s="130"/>
      <c r="AN317" s="130"/>
      <c r="AO317" s="130"/>
      <c r="AP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  <c r="AG318" s="130"/>
      <c r="AH318" s="130"/>
      <c r="AI318" s="130"/>
      <c r="AJ318" s="130"/>
      <c r="AK318" s="130"/>
      <c r="AL318" s="130"/>
      <c r="AM318" s="130"/>
      <c r="AN318" s="130"/>
      <c r="AO318" s="130"/>
      <c r="AP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  <c r="AG319" s="130"/>
      <c r="AH319" s="130"/>
      <c r="AI319" s="130"/>
      <c r="AJ319" s="130"/>
      <c r="AK319" s="130"/>
      <c r="AL319" s="130"/>
      <c r="AM319" s="130"/>
      <c r="AN319" s="130"/>
      <c r="AO319" s="130"/>
      <c r="AP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  <c r="AG320" s="130"/>
      <c r="AH320" s="130"/>
      <c r="AI320" s="130"/>
      <c r="AJ320" s="130"/>
      <c r="AK320" s="130"/>
      <c r="AL320" s="130"/>
      <c r="AM320" s="130"/>
      <c r="AN320" s="130"/>
      <c r="AO320" s="130"/>
      <c r="AP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  <c r="AG321" s="130"/>
      <c r="AH321" s="130"/>
      <c r="AI321" s="130"/>
      <c r="AJ321" s="130"/>
      <c r="AK321" s="130"/>
      <c r="AL321" s="130"/>
      <c r="AM321" s="130"/>
      <c r="AN321" s="130"/>
      <c r="AO321" s="130"/>
      <c r="AP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  <c r="AG322" s="130"/>
      <c r="AH322" s="130"/>
      <c r="AI322" s="130"/>
      <c r="AJ322" s="130"/>
      <c r="AK322" s="130"/>
      <c r="AL322" s="130"/>
      <c r="AM322" s="130"/>
      <c r="AN322" s="130"/>
      <c r="AO322" s="130"/>
      <c r="AP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  <c r="AH323" s="130"/>
      <c r="AI323" s="130"/>
      <c r="AJ323" s="130"/>
      <c r="AK323" s="130"/>
      <c r="AL323" s="130"/>
      <c r="AM323" s="130"/>
      <c r="AN323" s="130"/>
      <c r="AO323" s="130"/>
      <c r="AP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  <c r="AG324" s="130"/>
      <c r="AH324" s="130"/>
      <c r="AI324" s="130"/>
      <c r="AJ324" s="130"/>
      <c r="AK324" s="130"/>
      <c r="AL324" s="130"/>
      <c r="AM324" s="130"/>
      <c r="AN324" s="130"/>
      <c r="AO324" s="130"/>
      <c r="AP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  <c r="AG325" s="130"/>
      <c r="AH325" s="130"/>
      <c r="AI325" s="130"/>
      <c r="AJ325" s="130"/>
      <c r="AK325" s="130"/>
      <c r="AL325" s="130"/>
      <c r="AM325" s="130"/>
      <c r="AN325" s="130"/>
      <c r="AO325" s="130"/>
      <c r="AP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  <c r="AG326" s="130"/>
      <c r="AH326" s="130"/>
      <c r="AI326" s="130"/>
      <c r="AJ326" s="130"/>
      <c r="AK326" s="130"/>
      <c r="AL326" s="130"/>
      <c r="AM326" s="130"/>
      <c r="AN326" s="130"/>
      <c r="AO326" s="130"/>
      <c r="AP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  <c r="AG327" s="130"/>
      <c r="AH327" s="130"/>
      <c r="AI327" s="130"/>
      <c r="AJ327" s="130"/>
      <c r="AK327" s="130"/>
      <c r="AL327" s="130"/>
      <c r="AM327" s="130"/>
      <c r="AN327" s="130"/>
      <c r="AO327" s="130"/>
      <c r="AP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  <c r="AG328" s="130"/>
      <c r="AH328" s="130"/>
      <c r="AI328" s="130"/>
      <c r="AJ328" s="130"/>
      <c r="AK328" s="130"/>
      <c r="AL328" s="130"/>
      <c r="AM328" s="130"/>
      <c r="AN328" s="130"/>
      <c r="AO328" s="130"/>
      <c r="AP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  <c r="AG329" s="130"/>
      <c r="AH329" s="130"/>
      <c r="AI329" s="130"/>
      <c r="AJ329" s="130"/>
      <c r="AK329" s="130"/>
      <c r="AL329" s="130"/>
      <c r="AM329" s="130"/>
      <c r="AN329" s="130"/>
      <c r="AO329" s="130"/>
      <c r="AP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  <c r="AG330" s="130"/>
      <c r="AH330" s="130"/>
      <c r="AI330" s="130"/>
      <c r="AJ330" s="130"/>
      <c r="AK330" s="130"/>
      <c r="AL330" s="130"/>
      <c r="AM330" s="130"/>
      <c r="AN330" s="130"/>
      <c r="AO330" s="130"/>
      <c r="AP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  <c r="AG331" s="130"/>
      <c r="AH331" s="130"/>
      <c r="AI331" s="130"/>
      <c r="AJ331" s="130"/>
      <c r="AK331" s="130"/>
      <c r="AL331" s="130"/>
      <c r="AM331" s="130"/>
      <c r="AN331" s="130"/>
      <c r="AO331" s="130"/>
      <c r="AP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  <c r="AG332" s="130"/>
      <c r="AH332" s="130"/>
      <c r="AI332" s="130"/>
      <c r="AJ332" s="130"/>
      <c r="AK332" s="130"/>
      <c r="AL332" s="130"/>
      <c r="AM332" s="130"/>
      <c r="AN332" s="130"/>
      <c r="AO332" s="130"/>
      <c r="AP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  <c r="AG333" s="130"/>
      <c r="AH333" s="130"/>
      <c r="AI333" s="130"/>
      <c r="AJ333" s="130"/>
      <c r="AK333" s="130"/>
      <c r="AL333" s="130"/>
      <c r="AM333" s="130"/>
      <c r="AN333" s="130"/>
      <c r="AO333" s="130"/>
      <c r="AP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  <c r="AH334" s="130"/>
      <c r="AI334" s="130"/>
      <c r="AJ334" s="130"/>
      <c r="AK334" s="130"/>
      <c r="AL334" s="130"/>
      <c r="AM334" s="130"/>
      <c r="AN334" s="130"/>
      <c r="AO334" s="130"/>
      <c r="AP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  <c r="AG335" s="130"/>
      <c r="AH335" s="130"/>
      <c r="AI335" s="130"/>
      <c r="AJ335" s="130"/>
      <c r="AK335" s="130"/>
      <c r="AL335" s="130"/>
      <c r="AM335" s="130"/>
      <c r="AN335" s="130"/>
      <c r="AO335" s="130"/>
      <c r="AP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  <c r="AG336" s="130"/>
      <c r="AH336" s="130"/>
      <c r="AI336" s="130"/>
      <c r="AJ336" s="130"/>
      <c r="AK336" s="130"/>
      <c r="AL336" s="130"/>
      <c r="AM336" s="130"/>
      <c r="AN336" s="130"/>
      <c r="AO336" s="130"/>
      <c r="AP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  <c r="AG337" s="130"/>
      <c r="AH337" s="130"/>
      <c r="AI337" s="130"/>
      <c r="AJ337" s="130"/>
      <c r="AK337" s="130"/>
      <c r="AL337" s="130"/>
      <c r="AM337" s="130"/>
      <c r="AN337" s="130"/>
      <c r="AO337" s="130"/>
      <c r="AP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  <c r="AG338" s="130"/>
      <c r="AH338" s="130"/>
      <c r="AI338" s="130"/>
      <c r="AJ338" s="130"/>
      <c r="AK338" s="130"/>
      <c r="AL338" s="130"/>
      <c r="AM338" s="130"/>
      <c r="AN338" s="130"/>
      <c r="AO338" s="130"/>
      <c r="AP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  <c r="AG339" s="130"/>
      <c r="AH339" s="130"/>
      <c r="AI339" s="130"/>
      <c r="AJ339" s="130"/>
      <c r="AK339" s="130"/>
      <c r="AL339" s="130"/>
      <c r="AM339" s="130"/>
      <c r="AN339" s="130"/>
      <c r="AO339" s="130"/>
      <c r="AP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  <c r="AG340" s="130"/>
      <c r="AH340" s="130"/>
      <c r="AI340" s="130"/>
      <c r="AJ340" s="130"/>
      <c r="AK340" s="130"/>
      <c r="AL340" s="130"/>
      <c r="AM340" s="130"/>
      <c r="AN340" s="130"/>
      <c r="AO340" s="130"/>
      <c r="AP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  <c r="AG341" s="130"/>
      <c r="AH341" s="130"/>
      <c r="AI341" s="130"/>
      <c r="AJ341" s="130"/>
      <c r="AK341" s="130"/>
      <c r="AL341" s="130"/>
      <c r="AM341" s="130"/>
      <c r="AN341" s="130"/>
      <c r="AO341" s="130"/>
      <c r="AP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  <c r="AG342" s="130"/>
      <c r="AH342" s="130"/>
      <c r="AI342" s="130"/>
      <c r="AJ342" s="130"/>
      <c r="AK342" s="130"/>
      <c r="AL342" s="130"/>
      <c r="AM342" s="130"/>
      <c r="AN342" s="130"/>
      <c r="AO342" s="130"/>
      <c r="AP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  <c r="AG343" s="130"/>
      <c r="AH343" s="130"/>
      <c r="AI343" s="130"/>
      <c r="AJ343" s="130"/>
      <c r="AK343" s="130"/>
      <c r="AL343" s="130"/>
      <c r="AM343" s="130"/>
      <c r="AN343" s="130"/>
      <c r="AO343" s="130"/>
      <c r="AP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  <c r="AG344" s="130"/>
      <c r="AH344" s="130"/>
      <c r="AI344" s="130"/>
      <c r="AJ344" s="130"/>
      <c r="AK344" s="130"/>
      <c r="AL344" s="130"/>
      <c r="AM344" s="130"/>
      <c r="AN344" s="130"/>
      <c r="AO344" s="130"/>
      <c r="AP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  <c r="AG345" s="130"/>
      <c r="AH345" s="130"/>
      <c r="AI345" s="130"/>
      <c r="AJ345" s="130"/>
      <c r="AK345" s="130"/>
      <c r="AL345" s="130"/>
      <c r="AM345" s="130"/>
      <c r="AN345" s="130"/>
      <c r="AO345" s="130"/>
      <c r="AP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  <c r="AG346" s="130"/>
      <c r="AH346" s="130"/>
      <c r="AI346" s="130"/>
      <c r="AJ346" s="130"/>
      <c r="AK346" s="130"/>
      <c r="AL346" s="130"/>
      <c r="AM346" s="130"/>
      <c r="AN346" s="130"/>
      <c r="AO346" s="130"/>
      <c r="AP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  <c r="AG347" s="130"/>
      <c r="AH347" s="130"/>
      <c r="AI347" s="130"/>
      <c r="AJ347" s="130"/>
      <c r="AK347" s="130"/>
      <c r="AL347" s="130"/>
      <c r="AM347" s="130"/>
      <c r="AN347" s="130"/>
      <c r="AO347" s="130"/>
      <c r="AP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  <c r="AG348" s="130"/>
      <c r="AH348" s="130"/>
      <c r="AI348" s="130"/>
      <c r="AJ348" s="130"/>
      <c r="AK348" s="130"/>
      <c r="AL348" s="130"/>
      <c r="AM348" s="130"/>
      <c r="AN348" s="130"/>
      <c r="AO348" s="130"/>
      <c r="AP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  <c r="AG349" s="130"/>
      <c r="AH349" s="130"/>
      <c r="AI349" s="130"/>
      <c r="AJ349" s="130"/>
      <c r="AK349" s="130"/>
      <c r="AL349" s="130"/>
      <c r="AM349" s="130"/>
      <c r="AN349" s="130"/>
      <c r="AO349" s="130"/>
      <c r="AP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  <c r="AG350" s="130"/>
      <c r="AH350" s="130"/>
      <c r="AI350" s="130"/>
      <c r="AJ350" s="130"/>
      <c r="AK350" s="130"/>
      <c r="AL350" s="130"/>
      <c r="AM350" s="130"/>
      <c r="AN350" s="130"/>
      <c r="AO350" s="130"/>
      <c r="AP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  <c r="AG351" s="130"/>
      <c r="AH351" s="130"/>
      <c r="AI351" s="130"/>
      <c r="AJ351" s="130"/>
      <c r="AK351" s="130"/>
      <c r="AL351" s="130"/>
      <c r="AM351" s="130"/>
      <c r="AN351" s="130"/>
      <c r="AO351" s="130"/>
      <c r="AP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  <c r="AG352" s="130"/>
      <c r="AH352" s="130"/>
      <c r="AI352" s="130"/>
      <c r="AJ352" s="130"/>
      <c r="AK352" s="130"/>
      <c r="AL352" s="130"/>
      <c r="AM352" s="130"/>
      <c r="AN352" s="130"/>
      <c r="AO352" s="130"/>
      <c r="AP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  <c r="AG353" s="130"/>
      <c r="AH353" s="130"/>
      <c r="AI353" s="130"/>
      <c r="AJ353" s="130"/>
      <c r="AK353" s="130"/>
      <c r="AL353" s="130"/>
      <c r="AM353" s="130"/>
      <c r="AN353" s="130"/>
      <c r="AO353" s="130"/>
      <c r="AP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  <c r="AG354" s="130"/>
      <c r="AH354" s="130"/>
      <c r="AI354" s="130"/>
      <c r="AJ354" s="130"/>
      <c r="AK354" s="130"/>
      <c r="AL354" s="130"/>
      <c r="AM354" s="130"/>
      <c r="AN354" s="130"/>
      <c r="AO354" s="130"/>
      <c r="AP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  <c r="AG355" s="130"/>
      <c r="AH355" s="130"/>
      <c r="AI355" s="130"/>
      <c r="AJ355" s="130"/>
      <c r="AK355" s="130"/>
      <c r="AL355" s="130"/>
      <c r="AM355" s="130"/>
      <c r="AN355" s="130"/>
      <c r="AO355" s="130"/>
      <c r="AP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  <c r="AG356" s="130"/>
      <c r="AH356" s="130"/>
      <c r="AI356" s="130"/>
      <c r="AJ356" s="130"/>
      <c r="AK356" s="130"/>
      <c r="AL356" s="130"/>
      <c r="AM356" s="130"/>
      <c r="AN356" s="130"/>
      <c r="AO356" s="130"/>
      <c r="AP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  <c r="AG357" s="130"/>
      <c r="AH357" s="130"/>
      <c r="AI357" s="130"/>
      <c r="AJ357" s="130"/>
      <c r="AK357" s="130"/>
      <c r="AL357" s="130"/>
      <c r="AM357" s="130"/>
      <c r="AN357" s="130"/>
      <c r="AO357" s="130"/>
      <c r="AP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  <c r="AG358" s="130"/>
      <c r="AH358" s="130"/>
      <c r="AI358" s="130"/>
      <c r="AJ358" s="130"/>
      <c r="AK358" s="130"/>
      <c r="AL358" s="130"/>
      <c r="AM358" s="130"/>
      <c r="AN358" s="130"/>
      <c r="AO358" s="130"/>
      <c r="AP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  <c r="AG359" s="130"/>
      <c r="AH359" s="130"/>
      <c r="AI359" s="130"/>
      <c r="AJ359" s="130"/>
      <c r="AK359" s="130"/>
      <c r="AL359" s="130"/>
      <c r="AM359" s="130"/>
      <c r="AN359" s="130"/>
      <c r="AO359" s="130"/>
      <c r="AP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  <c r="AG360" s="130"/>
      <c r="AH360" s="130"/>
      <c r="AI360" s="130"/>
      <c r="AJ360" s="130"/>
      <c r="AK360" s="130"/>
      <c r="AL360" s="130"/>
      <c r="AM360" s="130"/>
      <c r="AN360" s="130"/>
      <c r="AO360" s="130"/>
      <c r="AP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  <c r="AH361" s="130"/>
      <c r="AI361" s="130"/>
      <c r="AJ361" s="130"/>
      <c r="AK361" s="130"/>
      <c r="AL361" s="130"/>
      <c r="AM361" s="130"/>
      <c r="AN361" s="130"/>
      <c r="AO361" s="130"/>
      <c r="AP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  <c r="AG362" s="130"/>
      <c r="AH362" s="130"/>
      <c r="AI362" s="130"/>
      <c r="AJ362" s="130"/>
      <c r="AK362" s="130"/>
      <c r="AL362" s="130"/>
      <c r="AM362" s="130"/>
      <c r="AN362" s="130"/>
      <c r="AO362" s="130"/>
      <c r="AP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  <c r="AG363" s="130"/>
      <c r="AH363" s="130"/>
      <c r="AI363" s="130"/>
      <c r="AJ363" s="130"/>
      <c r="AK363" s="130"/>
      <c r="AL363" s="130"/>
      <c r="AM363" s="130"/>
      <c r="AN363" s="130"/>
      <c r="AO363" s="130"/>
      <c r="AP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  <c r="AG364" s="130"/>
      <c r="AH364" s="130"/>
      <c r="AI364" s="130"/>
      <c r="AJ364" s="130"/>
      <c r="AK364" s="130"/>
      <c r="AL364" s="130"/>
      <c r="AM364" s="130"/>
      <c r="AN364" s="130"/>
      <c r="AO364" s="130"/>
      <c r="AP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  <c r="AG365" s="130"/>
      <c r="AH365" s="130"/>
      <c r="AI365" s="130"/>
      <c r="AJ365" s="130"/>
      <c r="AK365" s="130"/>
      <c r="AL365" s="130"/>
      <c r="AM365" s="130"/>
      <c r="AN365" s="130"/>
      <c r="AO365" s="130"/>
      <c r="AP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  <c r="AG366" s="130"/>
      <c r="AH366" s="130"/>
      <c r="AI366" s="130"/>
      <c r="AJ366" s="130"/>
      <c r="AK366" s="130"/>
      <c r="AL366" s="130"/>
      <c r="AM366" s="130"/>
      <c r="AN366" s="130"/>
      <c r="AO366" s="130"/>
      <c r="AP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  <c r="AG367" s="130"/>
      <c r="AH367" s="130"/>
      <c r="AI367" s="130"/>
      <c r="AJ367" s="130"/>
      <c r="AK367" s="130"/>
      <c r="AL367" s="130"/>
      <c r="AM367" s="130"/>
      <c r="AN367" s="130"/>
      <c r="AO367" s="130"/>
      <c r="AP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  <c r="AG368" s="130"/>
      <c r="AH368" s="130"/>
      <c r="AI368" s="130"/>
      <c r="AJ368" s="130"/>
      <c r="AK368" s="130"/>
      <c r="AL368" s="130"/>
      <c r="AM368" s="130"/>
      <c r="AN368" s="130"/>
      <c r="AO368" s="130"/>
      <c r="AP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  <c r="AG369" s="130"/>
      <c r="AH369" s="130"/>
      <c r="AI369" s="130"/>
      <c r="AJ369" s="130"/>
      <c r="AK369" s="130"/>
      <c r="AL369" s="130"/>
      <c r="AM369" s="130"/>
      <c r="AN369" s="130"/>
      <c r="AO369" s="130"/>
      <c r="AP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  <c r="AG370" s="130"/>
      <c r="AH370" s="130"/>
      <c r="AI370" s="130"/>
      <c r="AJ370" s="130"/>
      <c r="AK370" s="130"/>
      <c r="AL370" s="130"/>
      <c r="AM370" s="130"/>
      <c r="AN370" s="130"/>
      <c r="AO370" s="130"/>
      <c r="AP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  <c r="AG371" s="130"/>
      <c r="AH371" s="130"/>
      <c r="AI371" s="130"/>
      <c r="AJ371" s="130"/>
      <c r="AK371" s="130"/>
      <c r="AL371" s="130"/>
      <c r="AM371" s="130"/>
      <c r="AN371" s="130"/>
      <c r="AO371" s="130"/>
      <c r="AP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  <c r="AG372" s="130"/>
      <c r="AH372" s="130"/>
      <c r="AI372" s="130"/>
      <c r="AJ372" s="130"/>
      <c r="AK372" s="130"/>
      <c r="AL372" s="130"/>
      <c r="AM372" s="130"/>
      <c r="AN372" s="130"/>
      <c r="AO372" s="130"/>
      <c r="AP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  <c r="AG373" s="130"/>
      <c r="AH373" s="130"/>
      <c r="AI373" s="130"/>
      <c r="AJ373" s="130"/>
      <c r="AK373" s="130"/>
      <c r="AL373" s="130"/>
      <c r="AM373" s="130"/>
      <c r="AN373" s="130"/>
      <c r="AO373" s="130"/>
      <c r="AP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  <c r="AG374" s="130"/>
      <c r="AH374" s="130"/>
      <c r="AI374" s="130"/>
      <c r="AJ374" s="130"/>
      <c r="AK374" s="130"/>
      <c r="AL374" s="130"/>
      <c r="AM374" s="130"/>
      <c r="AN374" s="130"/>
      <c r="AO374" s="130"/>
      <c r="AP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  <c r="AG375" s="130"/>
      <c r="AH375" s="130"/>
      <c r="AI375" s="130"/>
      <c r="AJ375" s="130"/>
      <c r="AK375" s="130"/>
      <c r="AL375" s="130"/>
      <c r="AM375" s="130"/>
      <c r="AN375" s="130"/>
      <c r="AO375" s="130"/>
      <c r="AP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  <c r="AK376" s="130"/>
      <c r="AL376" s="130"/>
      <c r="AM376" s="130"/>
      <c r="AN376" s="130"/>
      <c r="AO376" s="130"/>
      <c r="AP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  <c r="AG377" s="130"/>
      <c r="AH377" s="130"/>
      <c r="AI377" s="130"/>
      <c r="AJ377" s="130"/>
      <c r="AK377" s="130"/>
      <c r="AL377" s="130"/>
      <c r="AM377" s="130"/>
      <c r="AN377" s="130"/>
      <c r="AO377" s="130"/>
      <c r="AP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  <c r="AG378" s="130"/>
      <c r="AH378" s="130"/>
      <c r="AI378" s="130"/>
      <c r="AJ378" s="130"/>
      <c r="AK378" s="130"/>
      <c r="AL378" s="130"/>
      <c r="AM378" s="130"/>
      <c r="AN378" s="130"/>
      <c r="AO378" s="130"/>
      <c r="AP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  <c r="AG379" s="130"/>
      <c r="AH379" s="130"/>
      <c r="AI379" s="130"/>
      <c r="AJ379" s="130"/>
      <c r="AK379" s="130"/>
      <c r="AL379" s="130"/>
      <c r="AM379" s="130"/>
      <c r="AN379" s="130"/>
      <c r="AO379" s="130"/>
      <c r="AP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  <c r="AG380" s="130"/>
      <c r="AH380" s="130"/>
      <c r="AI380" s="130"/>
      <c r="AJ380" s="130"/>
      <c r="AK380" s="130"/>
      <c r="AL380" s="130"/>
      <c r="AM380" s="130"/>
      <c r="AN380" s="130"/>
      <c r="AO380" s="130"/>
      <c r="AP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  <c r="AG381" s="130"/>
      <c r="AH381" s="130"/>
      <c r="AI381" s="130"/>
      <c r="AJ381" s="130"/>
      <c r="AK381" s="130"/>
      <c r="AL381" s="130"/>
      <c r="AM381" s="130"/>
      <c r="AN381" s="130"/>
      <c r="AO381" s="130"/>
      <c r="AP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  <c r="AG382" s="130"/>
      <c r="AH382" s="130"/>
      <c r="AI382" s="130"/>
      <c r="AJ382" s="130"/>
      <c r="AK382" s="130"/>
      <c r="AL382" s="130"/>
      <c r="AM382" s="130"/>
      <c r="AN382" s="130"/>
      <c r="AO382" s="130"/>
      <c r="AP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  <c r="AG383" s="130"/>
      <c r="AH383" s="130"/>
      <c r="AI383" s="130"/>
      <c r="AJ383" s="130"/>
      <c r="AK383" s="130"/>
      <c r="AL383" s="130"/>
      <c r="AM383" s="130"/>
      <c r="AN383" s="130"/>
      <c r="AO383" s="130"/>
      <c r="AP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  <c r="AG384" s="130"/>
      <c r="AH384" s="130"/>
      <c r="AI384" s="130"/>
      <c r="AJ384" s="130"/>
      <c r="AK384" s="130"/>
      <c r="AL384" s="130"/>
      <c r="AM384" s="130"/>
      <c r="AN384" s="130"/>
      <c r="AO384" s="130"/>
      <c r="AP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  <c r="AH385" s="130"/>
      <c r="AI385" s="130"/>
      <c r="AJ385" s="130"/>
      <c r="AK385" s="130"/>
      <c r="AL385" s="130"/>
      <c r="AM385" s="130"/>
      <c r="AN385" s="130"/>
      <c r="AO385" s="130"/>
      <c r="AP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  <c r="AG386" s="130"/>
      <c r="AH386" s="130"/>
      <c r="AI386" s="130"/>
      <c r="AJ386" s="130"/>
      <c r="AK386" s="130"/>
      <c r="AL386" s="130"/>
      <c r="AM386" s="130"/>
      <c r="AN386" s="130"/>
      <c r="AO386" s="130"/>
      <c r="AP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  <c r="AG387" s="130"/>
      <c r="AH387" s="130"/>
      <c r="AI387" s="130"/>
      <c r="AJ387" s="130"/>
      <c r="AK387" s="130"/>
      <c r="AL387" s="130"/>
      <c r="AM387" s="130"/>
      <c r="AN387" s="130"/>
      <c r="AO387" s="130"/>
      <c r="AP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  <c r="AG388" s="130"/>
      <c r="AH388" s="130"/>
      <c r="AI388" s="130"/>
      <c r="AJ388" s="130"/>
      <c r="AK388" s="130"/>
      <c r="AL388" s="130"/>
      <c r="AM388" s="130"/>
      <c r="AN388" s="130"/>
      <c r="AO388" s="130"/>
      <c r="AP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  <c r="AG389" s="130"/>
      <c r="AH389" s="130"/>
      <c r="AI389" s="130"/>
      <c r="AJ389" s="130"/>
      <c r="AK389" s="130"/>
      <c r="AL389" s="130"/>
      <c r="AM389" s="130"/>
      <c r="AN389" s="130"/>
      <c r="AO389" s="130"/>
      <c r="AP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  <c r="AH390" s="130"/>
      <c r="AI390" s="130"/>
      <c r="AJ390" s="130"/>
      <c r="AK390" s="130"/>
      <c r="AL390" s="130"/>
      <c r="AM390" s="130"/>
      <c r="AN390" s="130"/>
      <c r="AO390" s="130"/>
      <c r="AP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  <c r="AH391" s="130"/>
      <c r="AI391" s="130"/>
      <c r="AJ391" s="130"/>
      <c r="AK391" s="130"/>
      <c r="AL391" s="130"/>
      <c r="AM391" s="130"/>
      <c r="AN391" s="130"/>
      <c r="AO391" s="130"/>
      <c r="AP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  <c r="AG392" s="130"/>
      <c r="AH392" s="130"/>
      <c r="AI392" s="130"/>
      <c r="AJ392" s="130"/>
      <c r="AK392" s="130"/>
      <c r="AL392" s="130"/>
      <c r="AM392" s="130"/>
      <c r="AN392" s="130"/>
      <c r="AO392" s="130"/>
      <c r="AP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  <c r="AH393" s="130"/>
      <c r="AI393" s="130"/>
      <c r="AJ393" s="130"/>
      <c r="AK393" s="130"/>
      <c r="AL393" s="130"/>
      <c r="AM393" s="130"/>
      <c r="AN393" s="130"/>
      <c r="AO393" s="130"/>
      <c r="AP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  <c r="AG394" s="130"/>
      <c r="AH394" s="130"/>
      <c r="AI394" s="130"/>
      <c r="AJ394" s="130"/>
      <c r="AK394" s="130"/>
      <c r="AL394" s="130"/>
      <c r="AM394" s="130"/>
      <c r="AN394" s="130"/>
      <c r="AO394" s="130"/>
      <c r="AP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  <c r="AG395" s="130"/>
      <c r="AH395" s="130"/>
      <c r="AI395" s="130"/>
      <c r="AJ395" s="130"/>
      <c r="AK395" s="130"/>
      <c r="AL395" s="130"/>
      <c r="AM395" s="130"/>
      <c r="AN395" s="130"/>
      <c r="AO395" s="130"/>
      <c r="AP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  <c r="AG396" s="130"/>
      <c r="AH396" s="130"/>
      <c r="AI396" s="130"/>
      <c r="AJ396" s="130"/>
      <c r="AK396" s="130"/>
      <c r="AL396" s="130"/>
      <c r="AM396" s="130"/>
      <c r="AN396" s="130"/>
      <c r="AO396" s="130"/>
      <c r="AP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  <c r="AG397" s="130"/>
      <c r="AH397" s="130"/>
      <c r="AI397" s="130"/>
      <c r="AJ397" s="130"/>
      <c r="AK397" s="130"/>
      <c r="AL397" s="130"/>
      <c r="AM397" s="130"/>
      <c r="AN397" s="130"/>
      <c r="AO397" s="130"/>
      <c r="AP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  <c r="AG398" s="130"/>
      <c r="AH398" s="130"/>
      <c r="AI398" s="130"/>
      <c r="AJ398" s="130"/>
      <c r="AK398" s="130"/>
      <c r="AL398" s="130"/>
      <c r="AM398" s="130"/>
      <c r="AN398" s="130"/>
      <c r="AO398" s="130"/>
      <c r="AP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  <c r="AH400" s="130"/>
      <c r="AI400" s="130"/>
      <c r="AJ400" s="130"/>
      <c r="AK400" s="130"/>
      <c r="AL400" s="130"/>
      <c r="AM400" s="130"/>
      <c r="AN400" s="130"/>
      <c r="AO400" s="130"/>
      <c r="AP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  <c r="AG401" s="130"/>
      <c r="AH401" s="130"/>
      <c r="AI401" s="130"/>
      <c r="AJ401" s="130"/>
      <c r="AK401" s="130"/>
      <c r="AL401" s="130"/>
      <c r="AM401" s="130"/>
      <c r="AN401" s="130"/>
      <c r="AO401" s="130"/>
      <c r="AP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  <c r="AG402" s="130"/>
      <c r="AH402" s="130"/>
      <c r="AI402" s="130"/>
      <c r="AJ402" s="130"/>
      <c r="AK402" s="130"/>
      <c r="AL402" s="130"/>
      <c r="AM402" s="130"/>
      <c r="AN402" s="130"/>
      <c r="AO402" s="130"/>
      <c r="AP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  <c r="AH403" s="130"/>
      <c r="AI403" s="130"/>
      <c r="AJ403" s="130"/>
      <c r="AK403" s="130"/>
      <c r="AL403" s="130"/>
      <c r="AM403" s="130"/>
      <c r="AN403" s="130"/>
      <c r="AO403" s="130"/>
      <c r="AP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  <c r="AH404" s="130"/>
      <c r="AI404" s="130"/>
      <c r="AJ404" s="130"/>
      <c r="AK404" s="130"/>
      <c r="AL404" s="130"/>
      <c r="AM404" s="130"/>
      <c r="AN404" s="130"/>
      <c r="AO404" s="130"/>
      <c r="AP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  <c r="AG405" s="130"/>
      <c r="AH405" s="130"/>
      <c r="AI405" s="130"/>
      <c r="AJ405" s="130"/>
      <c r="AK405" s="130"/>
      <c r="AL405" s="130"/>
      <c r="AM405" s="130"/>
      <c r="AN405" s="130"/>
      <c r="AO405" s="130"/>
      <c r="AP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  <c r="AH406" s="130"/>
      <c r="AI406" s="130"/>
      <c r="AJ406" s="130"/>
      <c r="AK406" s="130"/>
      <c r="AL406" s="130"/>
      <c r="AM406" s="130"/>
      <c r="AN406" s="130"/>
      <c r="AO406" s="130"/>
      <c r="AP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30"/>
      <c r="AK407" s="130"/>
      <c r="AL407" s="130"/>
      <c r="AM407" s="130"/>
      <c r="AN407" s="130"/>
      <c r="AO407" s="130"/>
      <c r="AP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  <c r="AK408" s="130"/>
      <c r="AL408" s="130"/>
      <c r="AM408" s="130"/>
      <c r="AN408" s="130"/>
      <c r="AO408" s="130"/>
      <c r="AP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  <c r="AG409" s="130"/>
      <c r="AH409" s="130"/>
      <c r="AI409" s="130"/>
      <c r="AJ409" s="130"/>
      <c r="AK409" s="130"/>
      <c r="AL409" s="130"/>
      <c r="AM409" s="130"/>
      <c r="AN409" s="130"/>
      <c r="AO409" s="130"/>
      <c r="AP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  <c r="AH410" s="130"/>
      <c r="AI410" s="130"/>
      <c r="AJ410" s="130"/>
      <c r="AK410" s="130"/>
      <c r="AL410" s="130"/>
      <c r="AM410" s="130"/>
      <c r="AN410" s="130"/>
      <c r="AO410" s="130"/>
      <c r="AP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30"/>
      <c r="AK411" s="130"/>
      <c r="AL411" s="130"/>
      <c r="AM411" s="130"/>
      <c r="AN411" s="130"/>
      <c r="AO411" s="130"/>
      <c r="AP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  <c r="AH412" s="130"/>
      <c r="AI412" s="130"/>
      <c r="AJ412" s="130"/>
      <c r="AK412" s="130"/>
      <c r="AL412" s="130"/>
      <c r="AM412" s="130"/>
      <c r="AN412" s="130"/>
      <c r="AO412" s="130"/>
      <c r="AP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  <c r="AK413" s="130"/>
      <c r="AL413" s="130"/>
      <c r="AM413" s="130"/>
      <c r="AN413" s="130"/>
      <c r="AO413" s="130"/>
      <c r="AP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  <c r="AG414" s="130"/>
      <c r="AH414" s="130"/>
      <c r="AI414" s="130"/>
      <c r="AJ414" s="130"/>
      <c r="AK414" s="130"/>
      <c r="AL414" s="130"/>
      <c r="AM414" s="130"/>
      <c r="AN414" s="130"/>
      <c r="AO414" s="130"/>
      <c r="AP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  <c r="AG415" s="130"/>
      <c r="AH415" s="130"/>
      <c r="AI415" s="130"/>
      <c r="AJ415" s="130"/>
      <c r="AK415" s="130"/>
      <c r="AL415" s="130"/>
      <c r="AM415" s="130"/>
      <c r="AN415" s="130"/>
      <c r="AO415" s="130"/>
      <c r="AP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  <c r="AG416" s="130"/>
      <c r="AH416" s="130"/>
      <c r="AI416" s="130"/>
      <c r="AJ416" s="130"/>
      <c r="AK416" s="130"/>
      <c r="AL416" s="130"/>
      <c r="AM416" s="130"/>
      <c r="AN416" s="130"/>
      <c r="AO416" s="130"/>
      <c r="AP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  <c r="AG417" s="130"/>
      <c r="AH417" s="130"/>
      <c r="AI417" s="130"/>
      <c r="AJ417" s="130"/>
      <c r="AK417" s="130"/>
      <c r="AL417" s="130"/>
      <c r="AM417" s="130"/>
      <c r="AN417" s="130"/>
      <c r="AO417" s="130"/>
      <c r="AP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  <c r="AG418" s="130"/>
      <c r="AH418" s="130"/>
      <c r="AI418" s="130"/>
      <c r="AJ418" s="130"/>
      <c r="AK418" s="130"/>
      <c r="AL418" s="130"/>
      <c r="AM418" s="130"/>
      <c r="AN418" s="130"/>
      <c r="AO418" s="130"/>
      <c r="AP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  <c r="AG419" s="130"/>
      <c r="AH419" s="130"/>
      <c r="AI419" s="130"/>
      <c r="AJ419" s="130"/>
      <c r="AK419" s="130"/>
      <c r="AL419" s="130"/>
      <c r="AM419" s="130"/>
      <c r="AN419" s="130"/>
      <c r="AO419" s="130"/>
      <c r="AP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30"/>
      <c r="AK420" s="130"/>
      <c r="AL420" s="130"/>
      <c r="AM420" s="130"/>
      <c r="AN420" s="130"/>
      <c r="AO420" s="130"/>
      <c r="AP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  <c r="AK421" s="130"/>
      <c r="AL421" s="130"/>
      <c r="AM421" s="130"/>
      <c r="AN421" s="130"/>
      <c r="AO421" s="130"/>
      <c r="AP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  <c r="AH422" s="130"/>
      <c r="AI422" s="130"/>
      <c r="AJ422" s="130"/>
      <c r="AK422" s="130"/>
      <c r="AL422" s="130"/>
      <c r="AM422" s="130"/>
      <c r="AN422" s="130"/>
      <c r="AO422" s="130"/>
      <c r="AP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  <c r="AG423" s="130"/>
      <c r="AH423" s="130"/>
      <c r="AI423" s="130"/>
      <c r="AJ423" s="130"/>
      <c r="AK423" s="130"/>
      <c r="AL423" s="130"/>
      <c r="AM423" s="130"/>
      <c r="AN423" s="130"/>
      <c r="AO423" s="130"/>
      <c r="AP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  <c r="AG424" s="130"/>
      <c r="AH424" s="130"/>
      <c r="AI424" s="130"/>
      <c r="AJ424" s="130"/>
      <c r="AK424" s="130"/>
      <c r="AL424" s="130"/>
      <c r="AM424" s="130"/>
      <c r="AN424" s="130"/>
      <c r="AO424" s="130"/>
      <c r="AP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  <c r="AG425" s="130"/>
      <c r="AH425" s="130"/>
      <c r="AI425" s="130"/>
      <c r="AJ425" s="130"/>
      <c r="AK425" s="130"/>
      <c r="AL425" s="130"/>
      <c r="AM425" s="130"/>
      <c r="AN425" s="130"/>
      <c r="AO425" s="130"/>
      <c r="AP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  <c r="AG426" s="130"/>
      <c r="AH426" s="130"/>
      <c r="AI426" s="130"/>
      <c r="AJ426" s="130"/>
      <c r="AK426" s="130"/>
      <c r="AL426" s="130"/>
      <c r="AM426" s="130"/>
      <c r="AN426" s="130"/>
      <c r="AO426" s="130"/>
      <c r="AP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  <c r="AH427" s="130"/>
      <c r="AI427" s="130"/>
      <c r="AJ427" s="130"/>
      <c r="AK427" s="130"/>
      <c r="AL427" s="130"/>
      <c r="AM427" s="130"/>
      <c r="AN427" s="130"/>
      <c r="AO427" s="130"/>
      <c r="AP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  <c r="AG428" s="130"/>
      <c r="AH428" s="130"/>
      <c r="AI428" s="130"/>
      <c r="AJ428" s="130"/>
      <c r="AK428" s="130"/>
      <c r="AL428" s="130"/>
      <c r="AM428" s="130"/>
      <c r="AN428" s="130"/>
      <c r="AO428" s="130"/>
      <c r="AP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  <c r="AG429" s="130"/>
      <c r="AH429" s="130"/>
      <c r="AI429" s="130"/>
      <c r="AJ429" s="130"/>
      <c r="AK429" s="130"/>
      <c r="AL429" s="130"/>
      <c r="AM429" s="130"/>
      <c r="AN429" s="130"/>
      <c r="AO429" s="130"/>
      <c r="AP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  <c r="AG430" s="130"/>
      <c r="AH430" s="130"/>
      <c r="AI430" s="130"/>
      <c r="AJ430" s="130"/>
      <c r="AK430" s="130"/>
      <c r="AL430" s="130"/>
      <c r="AM430" s="130"/>
      <c r="AN430" s="130"/>
      <c r="AO430" s="130"/>
      <c r="AP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  <c r="AG431" s="130"/>
      <c r="AH431" s="130"/>
      <c r="AI431" s="130"/>
      <c r="AJ431" s="130"/>
      <c r="AK431" s="130"/>
      <c r="AL431" s="130"/>
      <c r="AM431" s="130"/>
      <c r="AN431" s="130"/>
      <c r="AO431" s="130"/>
      <c r="AP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  <c r="AH432" s="130"/>
      <c r="AI432" s="130"/>
      <c r="AJ432" s="130"/>
      <c r="AK432" s="130"/>
      <c r="AL432" s="130"/>
      <c r="AM432" s="130"/>
      <c r="AN432" s="130"/>
      <c r="AO432" s="130"/>
      <c r="AP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  <c r="AH433" s="130"/>
      <c r="AI433" s="130"/>
      <c r="AJ433" s="130"/>
      <c r="AK433" s="130"/>
      <c r="AL433" s="130"/>
      <c r="AM433" s="130"/>
      <c r="AN433" s="130"/>
      <c r="AO433" s="130"/>
      <c r="AP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30"/>
      <c r="AK434" s="130"/>
      <c r="AL434" s="130"/>
      <c r="AM434" s="130"/>
      <c r="AN434" s="130"/>
      <c r="AO434" s="130"/>
      <c r="AP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  <c r="AG435" s="130"/>
      <c r="AH435" s="130"/>
      <c r="AI435" s="130"/>
      <c r="AJ435" s="130"/>
      <c r="AK435" s="130"/>
      <c r="AL435" s="130"/>
      <c r="AM435" s="130"/>
      <c r="AN435" s="130"/>
      <c r="AO435" s="130"/>
      <c r="AP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  <c r="AG436" s="130"/>
      <c r="AH436" s="130"/>
      <c r="AI436" s="130"/>
      <c r="AJ436" s="130"/>
      <c r="AK436" s="130"/>
      <c r="AL436" s="130"/>
      <c r="AM436" s="130"/>
      <c r="AN436" s="130"/>
      <c r="AO436" s="130"/>
      <c r="AP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  <c r="AG437" s="130"/>
      <c r="AH437" s="130"/>
      <c r="AI437" s="130"/>
      <c r="AJ437" s="130"/>
      <c r="AK437" s="130"/>
      <c r="AL437" s="130"/>
      <c r="AM437" s="130"/>
      <c r="AN437" s="130"/>
      <c r="AO437" s="130"/>
      <c r="AP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  <c r="AG438" s="130"/>
      <c r="AH438" s="130"/>
      <c r="AI438" s="130"/>
      <c r="AJ438" s="130"/>
      <c r="AK438" s="130"/>
      <c r="AL438" s="130"/>
      <c r="AM438" s="130"/>
      <c r="AN438" s="130"/>
      <c r="AO438" s="130"/>
      <c r="AP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  <c r="AG439" s="130"/>
      <c r="AH439" s="130"/>
      <c r="AI439" s="130"/>
      <c r="AJ439" s="130"/>
      <c r="AK439" s="130"/>
      <c r="AL439" s="130"/>
      <c r="AM439" s="130"/>
      <c r="AN439" s="130"/>
      <c r="AO439" s="130"/>
      <c r="AP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30"/>
      <c r="AK440" s="130"/>
      <c r="AL440" s="130"/>
      <c r="AM440" s="130"/>
      <c r="AN440" s="130"/>
      <c r="AO440" s="130"/>
      <c r="AP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  <c r="AH441" s="130"/>
      <c r="AI441" s="130"/>
      <c r="AJ441" s="130"/>
      <c r="AK441" s="130"/>
      <c r="AL441" s="130"/>
      <c r="AM441" s="130"/>
      <c r="AN441" s="130"/>
      <c r="AO441" s="130"/>
      <c r="AP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  <c r="AH442" s="130"/>
      <c r="AI442" s="130"/>
      <c r="AJ442" s="130"/>
      <c r="AK442" s="130"/>
      <c r="AL442" s="130"/>
      <c r="AM442" s="130"/>
      <c r="AN442" s="130"/>
      <c r="AO442" s="130"/>
      <c r="AP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30"/>
      <c r="AK443" s="130"/>
      <c r="AL443" s="130"/>
      <c r="AM443" s="130"/>
      <c r="AN443" s="130"/>
      <c r="AO443" s="130"/>
      <c r="AP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  <c r="AG444" s="130"/>
      <c r="AH444" s="130"/>
      <c r="AI444" s="130"/>
      <c r="AJ444" s="130"/>
      <c r="AK444" s="130"/>
      <c r="AL444" s="130"/>
      <c r="AM444" s="130"/>
      <c r="AN444" s="130"/>
      <c r="AO444" s="130"/>
      <c r="AP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  <c r="AH445" s="130"/>
      <c r="AI445" s="130"/>
      <c r="AJ445" s="130"/>
      <c r="AK445" s="130"/>
      <c r="AL445" s="130"/>
      <c r="AM445" s="130"/>
      <c r="AN445" s="130"/>
      <c r="AO445" s="130"/>
      <c r="AP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  <c r="AG446" s="130"/>
      <c r="AH446" s="130"/>
      <c r="AI446" s="130"/>
      <c r="AJ446" s="130"/>
      <c r="AK446" s="130"/>
      <c r="AL446" s="130"/>
      <c r="AM446" s="130"/>
      <c r="AN446" s="130"/>
      <c r="AO446" s="130"/>
      <c r="AP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  <c r="AH447" s="130"/>
      <c r="AI447" s="130"/>
      <c r="AJ447" s="130"/>
      <c r="AK447" s="130"/>
      <c r="AL447" s="130"/>
      <c r="AM447" s="130"/>
      <c r="AN447" s="130"/>
      <c r="AO447" s="130"/>
      <c r="AP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  <c r="AG448" s="130"/>
      <c r="AH448" s="130"/>
      <c r="AI448" s="130"/>
      <c r="AJ448" s="130"/>
      <c r="AK448" s="130"/>
      <c r="AL448" s="130"/>
      <c r="AM448" s="130"/>
      <c r="AN448" s="130"/>
      <c r="AO448" s="130"/>
      <c r="AP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  <c r="AG449" s="130"/>
      <c r="AH449" s="130"/>
      <c r="AI449" s="130"/>
      <c r="AJ449" s="130"/>
      <c r="AK449" s="130"/>
      <c r="AL449" s="130"/>
      <c r="AM449" s="130"/>
      <c r="AN449" s="130"/>
      <c r="AO449" s="130"/>
      <c r="AP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  <c r="AK450" s="130"/>
      <c r="AL450" s="130"/>
      <c r="AM450" s="130"/>
      <c r="AN450" s="130"/>
      <c r="AO450" s="130"/>
      <c r="AP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  <c r="AG451" s="130"/>
      <c r="AH451" s="130"/>
      <c r="AI451" s="130"/>
      <c r="AJ451" s="130"/>
      <c r="AK451" s="130"/>
      <c r="AL451" s="130"/>
      <c r="AM451" s="130"/>
      <c r="AN451" s="130"/>
      <c r="AO451" s="130"/>
      <c r="AP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  <c r="AG452" s="130"/>
      <c r="AH452" s="130"/>
      <c r="AI452" s="130"/>
      <c r="AJ452" s="130"/>
      <c r="AK452" s="130"/>
      <c r="AL452" s="130"/>
      <c r="AM452" s="130"/>
      <c r="AN452" s="130"/>
      <c r="AO452" s="130"/>
      <c r="AP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  <c r="AG453" s="130"/>
      <c r="AH453" s="130"/>
      <c r="AI453" s="130"/>
      <c r="AJ453" s="130"/>
      <c r="AK453" s="130"/>
      <c r="AL453" s="130"/>
      <c r="AM453" s="130"/>
      <c r="AN453" s="130"/>
      <c r="AO453" s="130"/>
      <c r="AP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  <c r="AG454" s="130"/>
      <c r="AH454" s="130"/>
      <c r="AI454" s="130"/>
      <c r="AJ454" s="130"/>
      <c r="AK454" s="130"/>
      <c r="AL454" s="130"/>
      <c r="AM454" s="130"/>
      <c r="AN454" s="130"/>
      <c r="AO454" s="130"/>
      <c r="AP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  <c r="AG455" s="130"/>
      <c r="AH455" s="130"/>
      <c r="AI455" s="130"/>
      <c r="AJ455" s="130"/>
      <c r="AK455" s="130"/>
      <c r="AL455" s="130"/>
      <c r="AM455" s="130"/>
      <c r="AN455" s="130"/>
      <c r="AO455" s="130"/>
      <c r="AP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  <c r="AH456" s="130"/>
      <c r="AI456" s="130"/>
      <c r="AJ456" s="130"/>
      <c r="AK456" s="130"/>
      <c r="AL456" s="130"/>
      <c r="AM456" s="130"/>
      <c r="AN456" s="130"/>
      <c r="AO456" s="130"/>
      <c r="AP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  <c r="AH457" s="130"/>
      <c r="AI457" s="130"/>
      <c r="AJ457" s="130"/>
      <c r="AK457" s="130"/>
      <c r="AL457" s="130"/>
      <c r="AM457" s="130"/>
      <c r="AN457" s="130"/>
      <c r="AO457" s="130"/>
      <c r="AP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  <c r="AG458" s="130"/>
      <c r="AH458" s="130"/>
      <c r="AI458" s="130"/>
      <c r="AJ458" s="130"/>
      <c r="AK458" s="130"/>
      <c r="AL458" s="130"/>
      <c r="AM458" s="130"/>
      <c r="AN458" s="130"/>
      <c r="AO458" s="130"/>
      <c r="AP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  <c r="AG459" s="130"/>
      <c r="AH459" s="130"/>
      <c r="AI459" s="130"/>
      <c r="AJ459" s="130"/>
      <c r="AK459" s="130"/>
      <c r="AL459" s="130"/>
      <c r="AM459" s="130"/>
      <c r="AN459" s="130"/>
      <c r="AO459" s="130"/>
      <c r="AP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  <c r="AH460" s="130"/>
      <c r="AI460" s="130"/>
      <c r="AJ460" s="130"/>
      <c r="AK460" s="130"/>
      <c r="AL460" s="130"/>
      <c r="AM460" s="130"/>
      <c r="AN460" s="130"/>
      <c r="AO460" s="130"/>
      <c r="AP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  <c r="AH461" s="130"/>
      <c r="AI461" s="130"/>
      <c r="AJ461" s="130"/>
      <c r="AK461" s="130"/>
      <c r="AL461" s="130"/>
      <c r="AM461" s="130"/>
      <c r="AN461" s="130"/>
      <c r="AO461" s="130"/>
      <c r="AP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  <c r="AH462" s="130"/>
      <c r="AI462" s="130"/>
      <c r="AJ462" s="130"/>
      <c r="AK462" s="130"/>
      <c r="AL462" s="130"/>
      <c r="AM462" s="130"/>
      <c r="AN462" s="130"/>
      <c r="AO462" s="130"/>
      <c r="AP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  <c r="AG463" s="130"/>
      <c r="AH463" s="130"/>
      <c r="AI463" s="130"/>
      <c r="AJ463" s="130"/>
      <c r="AK463" s="130"/>
      <c r="AL463" s="130"/>
      <c r="AM463" s="130"/>
      <c r="AN463" s="130"/>
      <c r="AO463" s="130"/>
      <c r="AP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  <c r="AG464" s="130"/>
      <c r="AH464" s="130"/>
      <c r="AI464" s="130"/>
      <c r="AJ464" s="130"/>
      <c r="AK464" s="130"/>
      <c r="AL464" s="130"/>
      <c r="AM464" s="130"/>
      <c r="AN464" s="130"/>
      <c r="AO464" s="130"/>
      <c r="AP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  <c r="AG465" s="130"/>
      <c r="AH465" s="130"/>
      <c r="AI465" s="130"/>
      <c r="AJ465" s="130"/>
      <c r="AK465" s="130"/>
      <c r="AL465" s="130"/>
      <c r="AM465" s="130"/>
      <c r="AN465" s="130"/>
      <c r="AO465" s="130"/>
      <c r="AP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  <c r="AH466" s="130"/>
      <c r="AI466" s="130"/>
      <c r="AJ466" s="130"/>
      <c r="AK466" s="130"/>
      <c r="AL466" s="130"/>
      <c r="AM466" s="130"/>
      <c r="AN466" s="130"/>
      <c r="AO466" s="130"/>
      <c r="AP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  <c r="AG467" s="130"/>
      <c r="AH467" s="130"/>
      <c r="AI467" s="130"/>
      <c r="AJ467" s="130"/>
      <c r="AK467" s="130"/>
      <c r="AL467" s="130"/>
      <c r="AM467" s="130"/>
      <c r="AN467" s="130"/>
      <c r="AO467" s="130"/>
      <c r="AP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  <c r="AG468" s="130"/>
      <c r="AH468" s="130"/>
      <c r="AI468" s="130"/>
      <c r="AJ468" s="130"/>
      <c r="AK468" s="130"/>
      <c r="AL468" s="130"/>
      <c r="AM468" s="130"/>
      <c r="AN468" s="130"/>
      <c r="AO468" s="130"/>
      <c r="AP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  <c r="AH469" s="130"/>
      <c r="AI469" s="130"/>
      <c r="AJ469" s="130"/>
      <c r="AK469" s="130"/>
      <c r="AL469" s="130"/>
      <c r="AM469" s="130"/>
      <c r="AN469" s="130"/>
      <c r="AO469" s="130"/>
      <c r="AP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  <c r="AH470" s="130"/>
      <c r="AI470" s="130"/>
      <c r="AJ470" s="130"/>
      <c r="AK470" s="130"/>
      <c r="AL470" s="130"/>
      <c r="AM470" s="130"/>
      <c r="AN470" s="130"/>
      <c r="AO470" s="130"/>
      <c r="AP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  <c r="AG471" s="130"/>
      <c r="AH471" s="130"/>
      <c r="AI471" s="130"/>
      <c r="AJ471" s="130"/>
      <c r="AK471" s="130"/>
      <c r="AL471" s="130"/>
      <c r="AM471" s="130"/>
      <c r="AN471" s="130"/>
      <c r="AO471" s="130"/>
      <c r="AP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130"/>
      <c r="AH472" s="130"/>
      <c r="AI472" s="130"/>
      <c r="AJ472" s="130"/>
      <c r="AK472" s="130"/>
      <c r="AL472" s="130"/>
      <c r="AM472" s="130"/>
      <c r="AN472" s="130"/>
      <c r="AO472" s="130"/>
      <c r="AP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  <c r="AK473" s="130"/>
      <c r="AL473" s="130"/>
      <c r="AM473" s="130"/>
      <c r="AN473" s="130"/>
      <c r="AO473" s="130"/>
      <c r="AP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  <c r="AH474" s="130"/>
      <c r="AI474" s="130"/>
      <c r="AJ474" s="130"/>
      <c r="AK474" s="130"/>
      <c r="AL474" s="130"/>
      <c r="AM474" s="130"/>
      <c r="AN474" s="130"/>
      <c r="AO474" s="130"/>
      <c r="AP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  <c r="AH475" s="130"/>
      <c r="AI475" s="130"/>
      <c r="AJ475" s="130"/>
      <c r="AK475" s="130"/>
      <c r="AL475" s="130"/>
      <c r="AM475" s="130"/>
      <c r="AN475" s="130"/>
      <c r="AO475" s="130"/>
      <c r="AP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  <c r="AG476" s="130"/>
      <c r="AH476" s="130"/>
      <c r="AI476" s="130"/>
      <c r="AJ476" s="130"/>
      <c r="AK476" s="130"/>
      <c r="AL476" s="130"/>
      <c r="AM476" s="130"/>
      <c r="AN476" s="130"/>
      <c r="AO476" s="130"/>
      <c r="AP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  <c r="AG477" s="130"/>
      <c r="AH477" s="130"/>
      <c r="AI477" s="130"/>
      <c r="AJ477" s="130"/>
      <c r="AK477" s="130"/>
      <c r="AL477" s="130"/>
      <c r="AM477" s="130"/>
      <c r="AN477" s="130"/>
      <c r="AO477" s="130"/>
      <c r="AP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  <c r="AH478" s="130"/>
      <c r="AI478" s="130"/>
      <c r="AJ478" s="130"/>
      <c r="AK478" s="130"/>
      <c r="AL478" s="130"/>
      <c r="AM478" s="130"/>
      <c r="AN478" s="130"/>
      <c r="AO478" s="130"/>
      <c r="AP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  <c r="AH479" s="130"/>
      <c r="AI479" s="130"/>
      <c r="AJ479" s="130"/>
      <c r="AK479" s="130"/>
      <c r="AL479" s="130"/>
      <c r="AM479" s="130"/>
      <c r="AN479" s="130"/>
      <c r="AO479" s="130"/>
      <c r="AP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  <c r="AG480" s="130"/>
      <c r="AH480" s="130"/>
      <c r="AI480" s="130"/>
      <c r="AJ480" s="130"/>
      <c r="AK480" s="130"/>
      <c r="AL480" s="130"/>
      <c r="AM480" s="130"/>
      <c r="AN480" s="130"/>
      <c r="AO480" s="130"/>
      <c r="AP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  <c r="AG481" s="130"/>
      <c r="AH481" s="130"/>
      <c r="AI481" s="130"/>
      <c r="AJ481" s="130"/>
      <c r="AK481" s="130"/>
      <c r="AL481" s="130"/>
      <c r="AM481" s="130"/>
      <c r="AN481" s="130"/>
      <c r="AO481" s="130"/>
      <c r="AP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  <c r="AG482" s="130"/>
      <c r="AH482" s="130"/>
      <c r="AI482" s="130"/>
      <c r="AJ482" s="130"/>
      <c r="AK482" s="130"/>
      <c r="AL482" s="130"/>
      <c r="AM482" s="130"/>
      <c r="AN482" s="130"/>
      <c r="AO482" s="130"/>
      <c r="AP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  <c r="AG483" s="130"/>
      <c r="AH483" s="130"/>
      <c r="AI483" s="130"/>
      <c r="AJ483" s="130"/>
      <c r="AK483" s="130"/>
      <c r="AL483" s="130"/>
      <c r="AM483" s="130"/>
      <c r="AN483" s="130"/>
      <c r="AO483" s="130"/>
      <c r="AP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  <c r="AG484" s="130"/>
      <c r="AH484" s="130"/>
      <c r="AI484" s="130"/>
      <c r="AJ484" s="130"/>
      <c r="AK484" s="130"/>
      <c r="AL484" s="130"/>
      <c r="AM484" s="130"/>
      <c r="AN484" s="130"/>
      <c r="AO484" s="130"/>
      <c r="AP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  <c r="AG485" s="130"/>
      <c r="AH485" s="130"/>
      <c r="AI485" s="130"/>
      <c r="AJ485" s="130"/>
      <c r="AK485" s="130"/>
      <c r="AL485" s="130"/>
      <c r="AM485" s="130"/>
      <c r="AN485" s="130"/>
      <c r="AO485" s="130"/>
      <c r="AP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  <c r="AG486" s="130"/>
      <c r="AH486" s="130"/>
      <c r="AI486" s="130"/>
      <c r="AJ486" s="130"/>
      <c r="AK486" s="130"/>
      <c r="AL486" s="130"/>
      <c r="AM486" s="130"/>
      <c r="AN486" s="130"/>
      <c r="AO486" s="130"/>
      <c r="AP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  <c r="AG487" s="130"/>
      <c r="AH487" s="130"/>
      <c r="AI487" s="130"/>
      <c r="AJ487" s="130"/>
      <c r="AK487" s="130"/>
      <c r="AL487" s="130"/>
      <c r="AM487" s="130"/>
      <c r="AN487" s="130"/>
      <c r="AO487" s="130"/>
      <c r="AP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  <c r="AG488" s="130"/>
      <c r="AH488" s="130"/>
      <c r="AI488" s="130"/>
      <c r="AJ488" s="130"/>
      <c r="AK488" s="130"/>
      <c r="AL488" s="130"/>
      <c r="AM488" s="130"/>
      <c r="AN488" s="130"/>
      <c r="AO488" s="130"/>
      <c r="AP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130"/>
      <c r="AH489" s="130"/>
      <c r="AI489" s="130"/>
      <c r="AJ489" s="130"/>
      <c r="AK489" s="130"/>
      <c r="AL489" s="130"/>
      <c r="AM489" s="130"/>
      <c r="AN489" s="130"/>
      <c r="AO489" s="130"/>
      <c r="AP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  <c r="AG490" s="130"/>
      <c r="AH490" s="130"/>
      <c r="AI490" s="130"/>
      <c r="AJ490" s="130"/>
      <c r="AK490" s="130"/>
      <c r="AL490" s="130"/>
      <c r="AM490" s="130"/>
      <c r="AN490" s="130"/>
      <c r="AO490" s="130"/>
      <c r="AP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  <c r="AG491" s="130"/>
      <c r="AH491" s="130"/>
      <c r="AI491" s="130"/>
      <c r="AJ491" s="130"/>
      <c r="AK491" s="130"/>
      <c r="AL491" s="130"/>
      <c r="AM491" s="130"/>
      <c r="AN491" s="130"/>
      <c r="AO491" s="130"/>
      <c r="AP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  <c r="AG492" s="130"/>
      <c r="AH492" s="130"/>
      <c r="AI492" s="130"/>
      <c r="AJ492" s="130"/>
      <c r="AK492" s="130"/>
      <c r="AL492" s="130"/>
      <c r="AM492" s="130"/>
      <c r="AN492" s="130"/>
      <c r="AO492" s="130"/>
      <c r="AP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  <c r="AG493" s="130"/>
      <c r="AH493" s="130"/>
      <c r="AI493" s="130"/>
      <c r="AJ493" s="130"/>
      <c r="AK493" s="130"/>
      <c r="AL493" s="130"/>
      <c r="AM493" s="130"/>
      <c r="AN493" s="130"/>
      <c r="AO493" s="130"/>
      <c r="AP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  <c r="AG494" s="130"/>
      <c r="AH494" s="130"/>
      <c r="AI494" s="130"/>
      <c r="AJ494" s="130"/>
      <c r="AK494" s="130"/>
      <c r="AL494" s="130"/>
      <c r="AM494" s="130"/>
      <c r="AN494" s="130"/>
      <c r="AO494" s="130"/>
      <c r="AP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  <c r="AG495" s="130"/>
      <c r="AH495" s="130"/>
      <c r="AI495" s="130"/>
      <c r="AJ495" s="130"/>
      <c r="AK495" s="130"/>
      <c r="AL495" s="130"/>
      <c r="AM495" s="130"/>
      <c r="AN495" s="130"/>
      <c r="AO495" s="130"/>
      <c r="AP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  <c r="AG496" s="130"/>
      <c r="AH496" s="130"/>
      <c r="AI496" s="130"/>
      <c r="AJ496" s="130"/>
      <c r="AK496" s="130"/>
      <c r="AL496" s="130"/>
      <c r="AM496" s="130"/>
      <c r="AN496" s="130"/>
      <c r="AO496" s="130"/>
      <c r="AP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  <c r="AG497" s="130"/>
      <c r="AH497" s="130"/>
      <c r="AI497" s="130"/>
      <c r="AJ497" s="130"/>
      <c r="AK497" s="130"/>
      <c r="AL497" s="130"/>
      <c r="AM497" s="130"/>
      <c r="AN497" s="130"/>
      <c r="AO497" s="130"/>
      <c r="AP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  <c r="AG498" s="130"/>
      <c r="AH498" s="130"/>
      <c r="AI498" s="130"/>
      <c r="AJ498" s="130"/>
      <c r="AK498" s="130"/>
      <c r="AL498" s="130"/>
      <c r="AM498" s="130"/>
      <c r="AN498" s="130"/>
      <c r="AO498" s="130"/>
      <c r="AP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  <c r="AG499" s="130"/>
      <c r="AH499" s="130"/>
      <c r="AI499" s="130"/>
      <c r="AJ499" s="130"/>
      <c r="AK499" s="130"/>
      <c r="AL499" s="130"/>
      <c r="AM499" s="130"/>
      <c r="AN499" s="130"/>
      <c r="AO499" s="130"/>
      <c r="AP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  <c r="AG500" s="130"/>
      <c r="AH500" s="130"/>
      <c r="AI500" s="130"/>
      <c r="AJ500" s="130"/>
      <c r="AK500" s="130"/>
      <c r="AL500" s="130"/>
      <c r="AM500" s="130"/>
      <c r="AN500" s="130"/>
      <c r="AO500" s="130"/>
      <c r="AP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  <c r="AG501" s="130"/>
      <c r="AH501" s="130"/>
      <c r="AI501" s="130"/>
      <c r="AJ501" s="130"/>
      <c r="AK501" s="130"/>
      <c r="AL501" s="130"/>
      <c r="AM501" s="130"/>
      <c r="AN501" s="130"/>
      <c r="AO501" s="130"/>
      <c r="AP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30"/>
      <c r="AK502" s="130"/>
      <c r="AL502" s="130"/>
      <c r="AM502" s="130"/>
      <c r="AN502" s="130"/>
      <c r="AO502" s="130"/>
      <c r="AP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  <c r="AG503" s="130"/>
      <c r="AH503" s="130"/>
      <c r="AI503" s="130"/>
      <c r="AJ503" s="130"/>
      <c r="AK503" s="130"/>
      <c r="AL503" s="130"/>
      <c r="AM503" s="130"/>
      <c r="AN503" s="130"/>
      <c r="AO503" s="130"/>
      <c r="AP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  <c r="AG504" s="130"/>
      <c r="AH504" s="130"/>
      <c r="AI504" s="130"/>
      <c r="AJ504" s="130"/>
      <c r="AK504" s="130"/>
      <c r="AL504" s="130"/>
      <c r="AM504" s="130"/>
      <c r="AN504" s="130"/>
      <c r="AO504" s="130"/>
      <c r="AP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  <c r="AG505" s="130"/>
      <c r="AH505" s="130"/>
      <c r="AI505" s="130"/>
      <c r="AJ505" s="130"/>
      <c r="AK505" s="130"/>
      <c r="AL505" s="130"/>
      <c r="AM505" s="130"/>
      <c r="AN505" s="130"/>
      <c r="AO505" s="130"/>
      <c r="AP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  <c r="AG506" s="130"/>
      <c r="AH506" s="130"/>
      <c r="AI506" s="130"/>
      <c r="AJ506" s="130"/>
      <c r="AK506" s="130"/>
      <c r="AL506" s="130"/>
      <c r="AM506" s="130"/>
      <c r="AN506" s="130"/>
      <c r="AO506" s="130"/>
      <c r="AP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  <c r="AG507" s="130"/>
      <c r="AH507" s="130"/>
      <c r="AI507" s="130"/>
      <c r="AJ507" s="130"/>
      <c r="AK507" s="130"/>
      <c r="AL507" s="130"/>
      <c r="AM507" s="130"/>
      <c r="AN507" s="130"/>
      <c r="AO507" s="130"/>
      <c r="AP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  <c r="AG508" s="130"/>
      <c r="AH508" s="130"/>
      <c r="AI508" s="130"/>
      <c r="AJ508" s="130"/>
      <c r="AK508" s="130"/>
      <c r="AL508" s="130"/>
      <c r="AM508" s="130"/>
      <c r="AN508" s="130"/>
      <c r="AO508" s="130"/>
      <c r="AP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  <c r="AH509" s="130"/>
      <c r="AI509" s="130"/>
      <c r="AJ509" s="130"/>
      <c r="AK509" s="130"/>
      <c r="AL509" s="130"/>
      <c r="AM509" s="130"/>
      <c r="AN509" s="130"/>
      <c r="AO509" s="130"/>
      <c r="AP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  <c r="AG510" s="130"/>
      <c r="AH510" s="130"/>
      <c r="AI510" s="130"/>
      <c r="AJ510" s="130"/>
      <c r="AK510" s="130"/>
      <c r="AL510" s="130"/>
      <c r="AM510" s="130"/>
      <c r="AN510" s="130"/>
      <c r="AO510" s="130"/>
      <c r="AP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  <c r="AG511" s="130"/>
      <c r="AH511" s="130"/>
      <c r="AI511" s="130"/>
      <c r="AJ511" s="130"/>
      <c r="AK511" s="130"/>
      <c r="AL511" s="130"/>
      <c r="AM511" s="130"/>
      <c r="AN511" s="130"/>
      <c r="AO511" s="130"/>
      <c r="AP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  <c r="AG512" s="130"/>
      <c r="AH512" s="130"/>
      <c r="AI512" s="130"/>
      <c r="AJ512" s="130"/>
      <c r="AK512" s="130"/>
      <c r="AL512" s="130"/>
      <c r="AM512" s="130"/>
      <c r="AN512" s="130"/>
      <c r="AO512" s="130"/>
      <c r="AP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  <c r="AG513" s="130"/>
      <c r="AH513" s="130"/>
      <c r="AI513" s="130"/>
      <c r="AJ513" s="130"/>
      <c r="AK513" s="130"/>
      <c r="AL513" s="130"/>
      <c r="AM513" s="130"/>
      <c r="AN513" s="130"/>
      <c r="AO513" s="130"/>
      <c r="AP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  <c r="AG514" s="130"/>
      <c r="AH514" s="130"/>
      <c r="AI514" s="130"/>
      <c r="AJ514" s="130"/>
      <c r="AK514" s="130"/>
      <c r="AL514" s="130"/>
      <c r="AM514" s="130"/>
      <c r="AN514" s="130"/>
      <c r="AO514" s="130"/>
      <c r="AP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  <c r="AG515" s="130"/>
      <c r="AH515" s="130"/>
      <c r="AI515" s="130"/>
      <c r="AJ515" s="130"/>
      <c r="AK515" s="130"/>
      <c r="AL515" s="130"/>
      <c r="AM515" s="130"/>
      <c r="AN515" s="130"/>
      <c r="AO515" s="130"/>
      <c r="AP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  <c r="AG516" s="130"/>
      <c r="AH516" s="130"/>
      <c r="AI516" s="130"/>
      <c r="AJ516" s="130"/>
      <c r="AK516" s="130"/>
      <c r="AL516" s="130"/>
      <c r="AM516" s="130"/>
      <c r="AN516" s="130"/>
      <c r="AO516" s="130"/>
      <c r="AP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  <c r="AG517" s="130"/>
      <c r="AH517" s="130"/>
      <c r="AI517" s="130"/>
      <c r="AJ517" s="130"/>
      <c r="AK517" s="130"/>
      <c r="AL517" s="130"/>
      <c r="AM517" s="130"/>
      <c r="AN517" s="130"/>
      <c r="AO517" s="130"/>
      <c r="AP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  <c r="AG518" s="130"/>
      <c r="AH518" s="130"/>
      <c r="AI518" s="130"/>
      <c r="AJ518" s="130"/>
      <c r="AK518" s="130"/>
      <c r="AL518" s="130"/>
      <c r="AM518" s="130"/>
      <c r="AN518" s="130"/>
      <c r="AO518" s="130"/>
      <c r="AP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  <c r="AG519" s="130"/>
      <c r="AH519" s="130"/>
      <c r="AI519" s="130"/>
      <c r="AJ519" s="130"/>
      <c r="AK519" s="130"/>
      <c r="AL519" s="130"/>
      <c r="AM519" s="130"/>
      <c r="AN519" s="130"/>
      <c r="AO519" s="130"/>
      <c r="AP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  <c r="AG520" s="130"/>
      <c r="AH520" s="130"/>
      <c r="AI520" s="130"/>
      <c r="AJ520" s="130"/>
      <c r="AK520" s="130"/>
      <c r="AL520" s="130"/>
      <c r="AM520" s="130"/>
      <c r="AN520" s="130"/>
      <c r="AO520" s="130"/>
      <c r="AP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  <c r="AG521" s="130"/>
      <c r="AH521" s="130"/>
      <c r="AI521" s="130"/>
      <c r="AJ521" s="130"/>
      <c r="AK521" s="130"/>
      <c r="AL521" s="130"/>
      <c r="AM521" s="130"/>
      <c r="AN521" s="130"/>
      <c r="AO521" s="130"/>
      <c r="AP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  <c r="AG522" s="130"/>
      <c r="AH522" s="130"/>
      <c r="AI522" s="130"/>
      <c r="AJ522" s="130"/>
      <c r="AK522" s="130"/>
      <c r="AL522" s="130"/>
      <c r="AM522" s="130"/>
      <c r="AN522" s="130"/>
      <c r="AO522" s="130"/>
      <c r="AP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  <c r="AG523" s="130"/>
      <c r="AH523" s="130"/>
      <c r="AI523" s="130"/>
      <c r="AJ523" s="130"/>
      <c r="AK523" s="130"/>
      <c r="AL523" s="130"/>
      <c r="AM523" s="130"/>
      <c r="AN523" s="130"/>
      <c r="AO523" s="130"/>
      <c r="AP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  <c r="AK524" s="130"/>
      <c r="AL524" s="130"/>
      <c r="AM524" s="130"/>
      <c r="AN524" s="130"/>
      <c r="AO524" s="130"/>
      <c r="AP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  <c r="AG525" s="130"/>
      <c r="AH525" s="130"/>
      <c r="AI525" s="130"/>
      <c r="AJ525" s="130"/>
      <c r="AK525" s="130"/>
      <c r="AL525" s="130"/>
      <c r="AM525" s="130"/>
      <c r="AN525" s="130"/>
      <c r="AO525" s="130"/>
      <c r="AP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  <c r="AG526" s="130"/>
      <c r="AH526" s="130"/>
      <c r="AI526" s="130"/>
      <c r="AJ526" s="130"/>
      <c r="AK526" s="130"/>
      <c r="AL526" s="130"/>
      <c r="AM526" s="130"/>
      <c r="AN526" s="130"/>
      <c r="AO526" s="130"/>
      <c r="AP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  <c r="AG527" s="130"/>
      <c r="AH527" s="130"/>
      <c r="AI527" s="130"/>
      <c r="AJ527" s="130"/>
      <c r="AK527" s="130"/>
      <c r="AL527" s="130"/>
      <c r="AM527" s="130"/>
      <c r="AN527" s="130"/>
      <c r="AO527" s="130"/>
      <c r="AP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  <c r="AG528" s="130"/>
      <c r="AH528" s="130"/>
      <c r="AI528" s="130"/>
      <c r="AJ528" s="130"/>
      <c r="AK528" s="130"/>
      <c r="AL528" s="130"/>
      <c r="AM528" s="130"/>
      <c r="AN528" s="130"/>
      <c r="AO528" s="130"/>
      <c r="AP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  <c r="AG529" s="130"/>
      <c r="AH529" s="130"/>
      <c r="AI529" s="130"/>
      <c r="AJ529" s="130"/>
      <c r="AK529" s="130"/>
      <c r="AL529" s="130"/>
      <c r="AM529" s="130"/>
      <c r="AN529" s="130"/>
      <c r="AO529" s="130"/>
      <c r="AP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  <c r="AG530" s="130"/>
      <c r="AH530" s="130"/>
      <c r="AI530" s="130"/>
      <c r="AJ530" s="130"/>
      <c r="AK530" s="130"/>
      <c r="AL530" s="130"/>
      <c r="AM530" s="130"/>
      <c r="AN530" s="130"/>
      <c r="AO530" s="130"/>
      <c r="AP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  <c r="AG531" s="130"/>
      <c r="AH531" s="130"/>
      <c r="AI531" s="130"/>
      <c r="AJ531" s="130"/>
      <c r="AK531" s="130"/>
      <c r="AL531" s="130"/>
      <c r="AM531" s="130"/>
      <c r="AN531" s="130"/>
      <c r="AO531" s="130"/>
      <c r="AP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  <c r="AG532" s="130"/>
      <c r="AH532" s="130"/>
      <c r="AI532" s="130"/>
      <c r="AJ532" s="130"/>
      <c r="AK532" s="130"/>
      <c r="AL532" s="130"/>
      <c r="AM532" s="130"/>
      <c r="AN532" s="130"/>
      <c r="AO532" s="130"/>
      <c r="AP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  <c r="AG533" s="130"/>
      <c r="AH533" s="130"/>
      <c r="AI533" s="130"/>
      <c r="AJ533" s="130"/>
      <c r="AK533" s="130"/>
      <c r="AL533" s="130"/>
      <c r="AM533" s="130"/>
      <c r="AN533" s="130"/>
      <c r="AO533" s="130"/>
      <c r="AP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  <c r="AG534" s="130"/>
      <c r="AH534" s="130"/>
      <c r="AI534" s="130"/>
      <c r="AJ534" s="130"/>
      <c r="AK534" s="130"/>
      <c r="AL534" s="130"/>
      <c r="AM534" s="130"/>
      <c r="AN534" s="130"/>
      <c r="AO534" s="130"/>
      <c r="AP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  <c r="AG535" s="130"/>
      <c r="AH535" s="130"/>
      <c r="AI535" s="130"/>
      <c r="AJ535" s="130"/>
      <c r="AK535" s="130"/>
      <c r="AL535" s="130"/>
      <c r="AM535" s="130"/>
      <c r="AN535" s="130"/>
      <c r="AO535" s="130"/>
      <c r="AP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  <c r="AG536" s="130"/>
      <c r="AH536" s="130"/>
      <c r="AI536" s="130"/>
      <c r="AJ536" s="130"/>
      <c r="AK536" s="130"/>
      <c r="AL536" s="130"/>
      <c r="AM536" s="130"/>
      <c r="AN536" s="130"/>
      <c r="AO536" s="130"/>
      <c r="AP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  <c r="AG537" s="130"/>
      <c r="AH537" s="130"/>
      <c r="AI537" s="130"/>
      <c r="AJ537" s="130"/>
      <c r="AK537" s="130"/>
      <c r="AL537" s="130"/>
      <c r="AM537" s="130"/>
      <c r="AN537" s="130"/>
      <c r="AO537" s="130"/>
      <c r="AP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  <c r="AG538" s="130"/>
      <c r="AH538" s="130"/>
      <c r="AI538" s="130"/>
      <c r="AJ538" s="130"/>
      <c r="AK538" s="130"/>
      <c r="AL538" s="130"/>
      <c r="AM538" s="130"/>
      <c r="AN538" s="130"/>
      <c r="AO538" s="130"/>
      <c r="AP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  <c r="AG539" s="130"/>
      <c r="AH539" s="130"/>
      <c r="AI539" s="130"/>
      <c r="AJ539" s="130"/>
      <c r="AK539" s="130"/>
      <c r="AL539" s="130"/>
      <c r="AM539" s="130"/>
      <c r="AN539" s="130"/>
      <c r="AO539" s="130"/>
      <c r="AP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  <c r="AG540" s="130"/>
      <c r="AH540" s="130"/>
      <c r="AI540" s="130"/>
      <c r="AJ540" s="130"/>
      <c r="AK540" s="130"/>
      <c r="AL540" s="130"/>
      <c r="AM540" s="130"/>
      <c r="AN540" s="130"/>
      <c r="AO540" s="130"/>
      <c r="AP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  <c r="AG541" s="130"/>
      <c r="AH541" s="130"/>
      <c r="AI541" s="130"/>
      <c r="AJ541" s="130"/>
      <c r="AK541" s="130"/>
      <c r="AL541" s="130"/>
      <c r="AM541" s="130"/>
      <c r="AN541" s="130"/>
      <c r="AO541" s="130"/>
      <c r="AP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  <c r="AG542" s="130"/>
      <c r="AH542" s="130"/>
      <c r="AI542" s="130"/>
      <c r="AJ542" s="130"/>
      <c r="AK542" s="130"/>
      <c r="AL542" s="130"/>
      <c r="AM542" s="130"/>
      <c r="AN542" s="130"/>
      <c r="AO542" s="130"/>
      <c r="AP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  <c r="AG543" s="130"/>
      <c r="AH543" s="130"/>
      <c r="AI543" s="130"/>
      <c r="AJ543" s="130"/>
      <c r="AK543" s="130"/>
      <c r="AL543" s="130"/>
      <c r="AM543" s="130"/>
      <c r="AN543" s="130"/>
      <c r="AO543" s="130"/>
      <c r="AP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  <c r="AG544" s="130"/>
      <c r="AH544" s="130"/>
      <c r="AI544" s="130"/>
      <c r="AJ544" s="130"/>
      <c r="AK544" s="130"/>
      <c r="AL544" s="130"/>
      <c r="AM544" s="130"/>
      <c r="AN544" s="130"/>
      <c r="AO544" s="130"/>
      <c r="AP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  <c r="AG545" s="130"/>
      <c r="AH545" s="130"/>
      <c r="AI545" s="130"/>
      <c r="AJ545" s="130"/>
      <c r="AK545" s="130"/>
      <c r="AL545" s="130"/>
      <c r="AM545" s="130"/>
      <c r="AN545" s="130"/>
      <c r="AO545" s="130"/>
      <c r="AP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  <c r="AG546" s="130"/>
      <c r="AH546" s="130"/>
      <c r="AI546" s="130"/>
      <c r="AJ546" s="130"/>
      <c r="AK546" s="130"/>
      <c r="AL546" s="130"/>
      <c r="AM546" s="130"/>
      <c r="AN546" s="130"/>
      <c r="AO546" s="130"/>
      <c r="AP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  <c r="AG547" s="130"/>
      <c r="AH547" s="130"/>
      <c r="AI547" s="130"/>
      <c r="AJ547" s="130"/>
      <c r="AK547" s="130"/>
      <c r="AL547" s="130"/>
      <c r="AM547" s="130"/>
      <c r="AN547" s="130"/>
      <c r="AO547" s="130"/>
      <c r="AP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  <c r="AG548" s="130"/>
      <c r="AH548" s="130"/>
      <c r="AI548" s="130"/>
      <c r="AJ548" s="130"/>
      <c r="AK548" s="130"/>
      <c r="AL548" s="130"/>
      <c r="AM548" s="130"/>
      <c r="AN548" s="130"/>
      <c r="AO548" s="130"/>
      <c r="AP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  <c r="AG549" s="130"/>
      <c r="AH549" s="130"/>
      <c r="AI549" s="130"/>
      <c r="AJ549" s="130"/>
      <c r="AK549" s="130"/>
      <c r="AL549" s="130"/>
      <c r="AM549" s="130"/>
      <c r="AN549" s="130"/>
      <c r="AO549" s="130"/>
      <c r="AP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  <c r="AG550" s="130"/>
      <c r="AH550" s="130"/>
      <c r="AI550" s="130"/>
      <c r="AJ550" s="130"/>
      <c r="AK550" s="130"/>
      <c r="AL550" s="130"/>
      <c r="AM550" s="130"/>
      <c r="AN550" s="130"/>
      <c r="AO550" s="130"/>
      <c r="AP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  <c r="AG551" s="130"/>
      <c r="AH551" s="130"/>
      <c r="AI551" s="130"/>
      <c r="AJ551" s="130"/>
      <c r="AK551" s="130"/>
      <c r="AL551" s="130"/>
      <c r="AM551" s="130"/>
      <c r="AN551" s="130"/>
      <c r="AO551" s="130"/>
      <c r="AP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  <c r="AG552" s="130"/>
      <c r="AH552" s="130"/>
      <c r="AI552" s="130"/>
      <c r="AJ552" s="130"/>
      <c r="AK552" s="130"/>
      <c r="AL552" s="130"/>
      <c r="AM552" s="130"/>
      <c r="AN552" s="130"/>
      <c r="AO552" s="130"/>
      <c r="AP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  <c r="AG553" s="130"/>
      <c r="AH553" s="130"/>
      <c r="AI553" s="130"/>
      <c r="AJ553" s="130"/>
      <c r="AK553" s="130"/>
      <c r="AL553" s="130"/>
      <c r="AM553" s="130"/>
      <c r="AN553" s="130"/>
      <c r="AO553" s="130"/>
      <c r="AP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  <c r="AG554" s="130"/>
      <c r="AH554" s="130"/>
      <c r="AI554" s="130"/>
      <c r="AJ554" s="130"/>
      <c r="AK554" s="130"/>
      <c r="AL554" s="130"/>
      <c r="AM554" s="130"/>
      <c r="AN554" s="130"/>
      <c r="AO554" s="130"/>
      <c r="AP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  <c r="AG555" s="130"/>
      <c r="AH555" s="130"/>
      <c r="AI555" s="130"/>
      <c r="AJ555" s="130"/>
      <c r="AK555" s="130"/>
      <c r="AL555" s="130"/>
      <c r="AM555" s="130"/>
      <c r="AN555" s="130"/>
      <c r="AO555" s="130"/>
      <c r="AP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  <c r="AG556" s="130"/>
      <c r="AH556" s="130"/>
      <c r="AI556" s="130"/>
      <c r="AJ556" s="130"/>
      <c r="AK556" s="130"/>
      <c r="AL556" s="130"/>
      <c r="AM556" s="130"/>
      <c r="AN556" s="130"/>
      <c r="AO556" s="130"/>
      <c r="AP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  <c r="AG557" s="130"/>
      <c r="AH557" s="130"/>
      <c r="AI557" s="130"/>
      <c r="AJ557" s="130"/>
      <c r="AK557" s="130"/>
      <c r="AL557" s="130"/>
      <c r="AM557" s="130"/>
      <c r="AN557" s="130"/>
      <c r="AO557" s="130"/>
      <c r="AP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  <c r="AG558" s="130"/>
      <c r="AH558" s="130"/>
      <c r="AI558" s="130"/>
      <c r="AJ558" s="130"/>
      <c r="AK558" s="130"/>
      <c r="AL558" s="130"/>
      <c r="AM558" s="130"/>
      <c r="AN558" s="130"/>
      <c r="AO558" s="130"/>
      <c r="AP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  <c r="AG559" s="130"/>
      <c r="AH559" s="130"/>
      <c r="AI559" s="130"/>
      <c r="AJ559" s="130"/>
      <c r="AK559" s="130"/>
      <c r="AL559" s="130"/>
      <c r="AM559" s="130"/>
      <c r="AN559" s="130"/>
      <c r="AO559" s="130"/>
      <c r="AP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  <c r="AG560" s="130"/>
      <c r="AH560" s="130"/>
      <c r="AI560" s="130"/>
      <c r="AJ560" s="130"/>
      <c r="AK560" s="130"/>
      <c r="AL560" s="130"/>
      <c r="AM560" s="130"/>
      <c r="AN560" s="130"/>
      <c r="AO560" s="130"/>
      <c r="AP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  <c r="AG561" s="130"/>
      <c r="AH561" s="130"/>
      <c r="AI561" s="130"/>
      <c r="AJ561" s="130"/>
      <c r="AK561" s="130"/>
      <c r="AL561" s="130"/>
      <c r="AM561" s="130"/>
      <c r="AN561" s="130"/>
      <c r="AO561" s="130"/>
      <c r="AP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  <c r="AG562" s="130"/>
      <c r="AH562" s="130"/>
      <c r="AI562" s="130"/>
      <c r="AJ562" s="130"/>
      <c r="AK562" s="130"/>
      <c r="AL562" s="130"/>
      <c r="AM562" s="130"/>
      <c r="AN562" s="130"/>
      <c r="AO562" s="130"/>
      <c r="AP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  <c r="AG563" s="130"/>
      <c r="AH563" s="130"/>
      <c r="AI563" s="130"/>
      <c r="AJ563" s="130"/>
      <c r="AK563" s="130"/>
      <c r="AL563" s="130"/>
      <c r="AM563" s="130"/>
      <c r="AN563" s="130"/>
      <c r="AO563" s="130"/>
      <c r="AP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  <c r="AG564" s="130"/>
      <c r="AH564" s="130"/>
      <c r="AI564" s="130"/>
      <c r="AJ564" s="130"/>
      <c r="AK564" s="130"/>
      <c r="AL564" s="130"/>
      <c r="AM564" s="130"/>
      <c r="AN564" s="130"/>
      <c r="AO564" s="130"/>
      <c r="AP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  <c r="AG565" s="130"/>
      <c r="AH565" s="130"/>
      <c r="AI565" s="130"/>
      <c r="AJ565" s="130"/>
      <c r="AK565" s="130"/>
      <c r="AL565" s="130"/>
      <c r="AM565" s="130"/>
      <c r="AN565" s="130"/>
      <c r="AO565" s="130"/>
      <c r="AP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  <c r="AG566" s="130"/>
      <c r="AH566" s="130"/>
      <c r="AI566" s="130"/>
      <c r="AJ566" s="130"/>
      <c r="AK566" s="130"/>
      <c r="AL566" s="130"/>
      <c r="AM566" s="130"/>
      <c r="AN566" s="130"/>
      <c r="AO566" s="130"/>
      <c r="AP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  <c r="AG567" s="130"/>
      <c r="AH567" s="130"/>
      <c r="AI567" s="130"/>
      <c r="AJ567" s="130"/>
      <c r="AK567" s="130"/>
      <c r="AL567" s="130"/>
      <c r="AM567" s="130"/>
      <c r="AN567" s="130"/>
      <c r="AO567" s="130"/>
      <c r="AP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  <c r="AG568" s="130"/>
      <c r="AH568" s="130"/>
      <c r="AI568" s="130"/>
      <c r="AJ568" s="130"/>
      <c r="AK568" s="130"/>
      <c r="AL568" s="130"/>
      <c r="AM568" s="130"/>
      <c r="AN568" s="130"/>
      <c r="AO568" s="130"/>
      <c r="AP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  <c r="AG569" s="130"/>
      <c r="AH569" s="130"/>
      <c r="AI569" s="130"/>
      <c r="AJ569" s="130"/>
      <c r="AK569" s="130"/>
      <c r="AL569" s="130"/>
      <c r="AM569" s="130"/>
      <c r="AN569" s="130"/>
      <c r="AO569" s="130"/>
      <c r="AP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  <c r="AG570" s="130"/>
      <c r="AH570" s="130"/>
      <c r="AI570" s="130"/>
      <c r="AJ570" s="130"/>
      <c r="AK570" s="130"/>
      <c r="AL570" s="130"/>
      <c r="AM570" s="130"/>
      <c r="AN570" s="130"/>
      <c r="AO570" s="130"/>
      <c r="AP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  <c r="AH571" s="130"/>
      <c r="AI571" s="130"/>
      <c r="AJ571" s="130"/>
      <c r="AK571" s="130"/>
      <c r="AL571" s="130"/>
      <c r="AM571" s="130"/>
      <c r="AN571" s="130"/>
      <c r="AO571" s="130"/>
      <c r="AP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  <c r="AG572" s="130"/>
      <c r="AH572" s="130"/>
      <c r="AI572" s="130"/>
      <c r="AJ572" s="130"/>
      <c r="AK572" s="130"/>
      <c r="AL572" s="130"/>
      <c r="AM572" s="130"/>
      <c r="AN572" s="130"/>
      <c r="AO572" s="130"/>
      <c r="AP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  <c r="AG573" s="130"/>
      <c r="AH573" s="130"/>
      <c r="AI573" s="130"/>
      <c r="AJ573" s="130"/>
      <c r="AK573" s="130"/>
      <c r="AL573" s="130"/>
      <c r="AM573" s="130"/>
      <c r="AN573" s="130"/>
      <c r="AO573" s="130"/>
      <c r="AP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  <c r="AG574" s="130"/>
      <c r="AH574" s="130"/>
      <c r="AI574" s="130"/>
      <c r="AJ574" s="130"/>
      <c r="AK574" s="130"/>
      <c r="AL574" s="130"/>
      <c r="AM574" s="130"/>
      <c r="AN574" s="130"/>
      <c r="AO574" s="130"/>
      <c r="AP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  <c r="AG575" s="130"/>
      <c r="AH575" s="130"/>
      <c r="AI575" s="130"/>
      <c r="AJ575" s="130"/>
      <c r="AK575" s="130"/>
      <c r="AL575" s="130"/>
      <c r="AM575" s="130"/>
      <c r="AN575" s="130"/>
      <c r="AO575" s="130"/>
      <c r="AP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  <c r="AG576" s="130"/>
      <c r="AH576" s="130"/>
      <c r="AI576" s="130"/>
      <c r="AJ576" s="130"/>
      <c r="AK576" s="130"/>
      <c r="AL576" s="130"/>
      <c r="AM576" s="130"/>
      <c r="AN576" s="130"/>
      <c r="AO576" s="130"/>
      <c r="AP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  <c r="AG577" s="130"/>
      <c r="AH577" s="130"/>
      <c r="AI577" s="130"/>
      <c r="AJ577" s="130"/>
      <c r="AK577" s="130"/>
      <c r="AL577" s="130"/>
      <c r="AM577" s="130"/>
      <c r="AN577" s="130"/>
      <c r="AO577" s="130"/>
      <c r="AP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  <c r="AG578" s="130"/>
      <c r="AH578" s="130"/>
      <c r="AI578" s="130"/>
      <c r="AJ578" s="130"/>
      <c r="AK578" s="130"/>
      <c r="AL578" s="130"/>
      <c r="AM578" s="130"/>
      <c r="AN578" s="130"/>
      <c r="AO578" s="130"/>
      <c r="AP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  <c r="AG579" s="130"/>
      <c r="AH579" s="130"/>
      <c r="AI579" s="130"/>
      <c r="AJ579" s="130"/>
      <c r="AK579" s="130"/>
      <c r="AL579" s="130"/>
      <c r="AM579" s="130"/>
      <c r="AN579" s="130"/>
      <c r="AO579" s="130"/>
      <c r="AP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  <c r="AG580" s="130"/>
      <c r="AH580" s="130"/>
      <c r="AI580" s="130"/>
      <c r="AJ580" s="130"/>
      <c r="AK580" s="130"/>
      <c r="AL580" s="130"/>
      <c r="AM580" s="130"/>
      <c r="AN580" s="130"/>
      <c r="AO580" s="130"/>
      <c r="AP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  <c r="AG581" s="130"/>
      <c r="AH581" s="130"/>
      <c r="AI581" s="130"/>
      <c r="AJ581" s="130"/>
      <c r="AK581" s="130"/>
      <c r="AL581" s="130"/>
      <c r="AM581" s="130"/>
      <c r="AN581" s="130"/>
      <c r="AO581" s="130"/>
      <c r="AP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  <c r="AG582" s="130"/>
      <c r="AH582" s="130"/>
      <c r="AI582" s="130"/>
      <c r="AJ582" s="130"/>
      <c r="AK582" s="130"/>
      <c r="AL582" s="130"/>
      <c r="AM582" s="130"/>
      <c r="AN582" s="130"/>
      <c r="AO582" s="130"/>
      <c r="AP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  <c r="AG583" s="130"/>
      <c r="AH583" s="130"/>
      <c r="AI583" s="130"/>
      <c r="AJ583" s="130"/>
      <c r="AK583" s="130"/>
      <c r="AL583" s="130"/>
      <c r="AM583" s="130"/>
      <c r="AN583" s="130"/>
      <c r="AO583" s="130"/>
      <c r="AP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  <c r="AG584" s="130"/>
      <c r="AH584" s="130"/>
      <c r="AI584" s="130"/>
      <c r="AJ584" s="130"/>
      <c r="AK584" s="130"/>
      <c r="AL584" s="130"/>
      <c r="AM584" s="130"/>
      <c r="AN584" s="130"/>
      <c r="AO584" s="130"/>
      <c r="AP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  <c r="AG585" s="130"/>
      <c r="AH585" s="130"/>
      <c r="AI585" s="130"/>
      <c r="AJ585" s="130"/>
      <c r="AK585" s="130"/>
      <c r="AL585" s="130"/>
      <c r="AM585" s="130"/>
      <c r="AN585" s="130"/>
      <c r="AO585" s="130"/>
      <c r="AP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  <c r="AG586" s="130"/>
      <c r="AH586" s="130"/>
      <c r="AI586" s="130"/>
      <c r="AJ586" s="130"/>
      <c r="AK586" s="130"/>
      <c r="AL586" s="130"/>
      <c r="AM586" s="130"/>
      <c r="AN586" s="130"/>
      <c r="AO586" s="130"/>
      <c r="AP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  <c r="AG587" s="130"/>
      <c r="AH587" s="130"/>
      <c r="AI587" s="130"/>
      <c r="AJ587" s="130"/>
      <c r="AK587" s="130"/>
      <c r="AL587" s="130"/>
      <c r="AM587" s="130"/>
      <c r="AN587" s="130"/>
      <c r="AO587" s="130"/>
      <c r="AP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  <c r="AG588" s="130"/>
      <c r="AH588" s="130"/>
      <c r="AI588" s="130"/>
      <c r="AJ588" s="130"/>
      <c r="AK588" s="130"/>
      <c r="AL588" s="130"/>
      <c r="AM588" s="130"/>
      <c r="AN588" s="130"/>
      <c r="AO588" s="130"/>
      <c r="AP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  <c r="AG589" s="130"/>
      <c r="AH589" s="130"/>
      <c r="AI589" s="130"/>
      <c r="AJ589" s="130"/>
      <c r="AK589" s="130"/>
      <c r="AL589" s="130"/>
      <c r="AM589" s="130"/>
      <c r="AN589" s="130"/>
      <c r="AO589" s="130"/>
      <c r="AP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  <c r="AG590" s="130"/>
      <c r="AH590" s="130"/>
      <c r="AI590" s="130"/>
      <c r="AJ590" s="130"/>
      <c r="AK590" s="130"/>
      <c r="AL590" s="130"/>
      <c r="AM590" s="130"/>
      <c r="AN590" s="130"/>
      <c r="AO590" s="130"/>
      <c r="AP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  <c r="AG591" s="130"/>
      <c r="AH591" s="130"/>
      <c r="AI591" s="130"/>
      <c r="AJ591" s="130"/>
      <c r="AK591" s="130"/>
      <c r="AL591" s="130"/>
      <c r="AM591" s="130"/>
      <c r="AN591" s="130"/>
      <c r="AO591" s="130"/>
      <c r="AP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  <c r="AG592" s="130"/>
      <c r="AH592" s="130"/>
      <c r="AI592" s="130"/>
      <c r="AJ592" s="130"/>
      <c r="AK592" s="130"/>
      <c r="AL592" s="130"/>
      <c r="AM592" s="130"/>
      <c r="AN592" s="130"/>
      <c r="AO592" s="130"/>
      <c r="AP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  <c r="AG593" s="130"/>
      <c r="AH593" s="130"/>
      <c r="AI593" s="130"/>
      <c r="AJ593" s="130"/>
      <c r="AK593" s="130"/>
      <c r="AL593" s="130"/>
      <c r="AM593" s="130"/>
      <c r="AN593" s="130"/>
      <c r="AO593" s="130"/>
      <c r="AP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  <c r="AG594" s="130"/>
      <c r="AH594" s="130"/>
      <c r="AI594" s="130"/>
      <c r="AJ594" s="130"/>
      <c r="AK594" s="130"/>
      <c r="AL594" s="130"/>
      <c r="AM594" s="130"/>
      <c r="AN594" s="130"/>
      <c r="AO594" s="130"/>
      <c r="AP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  <c r="AG595" s="130"/>
      <c r="AH595" s="130"/>
      <c r="AI595" s="130"/>
      <c r="AJ595" s="130"/>
      <c r="AK595" s="130"/>
      <c r="AL595" s="130"/>
      <c r="AM595" s="130"/>
      <c r="AN595" s="130"/>
      <c r="AO595" s="130"/>
      <c r="AP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  <c r="AG596" s="130"/>
      <c r="AH596" s="130"/>
      <c r="AI596" s="130"/>
      <c r="AJ596" s="130"/>
      <c r="AK596" s="130"/>
      <c r="AL596" s="130"/>
      <c r="AM596" s="130"/>
      <c r="AN596" s="130"/>
      <c r="AO596" s="130"/>
      <c r="AP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  <c r="AG597" s="130"/>
      <c r="AH597" s="130"/>
      <c r="AI597" s="130"/>
      <c r="AJ597" s="130"/>
      <c r="AK597" s="130"/>
      <c r="AL597" s="130"/>
      <c r="AM597" s="130"/>
      <c r="AN597" s="130"/>
      <c r="AO597" s="130"/>
      <c r="AP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  <c r="AH598" s="130"/>
      <c r="AI598" s="130"/>
      <c r="AJ598" s="130"/>
      <c r="AK598" s="130"/>
      <c r="AL598" s="130"/>
      <c r="AM598" s="130"/>
      <c r="AN598" s="130"/>
      <c r="AO598" s="130"/>
      <c r="AP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  <c r="AG599" s="130"/>
      <c r="AH599" s="130"/>
      <c r="AI599" s="130"/>
      <c r="AJ599" s="130"/>
      <c r="AK599" s="130"/>
      <c r="AL599" s="130"/>
      <c r="AM599" s="130"/>
      <c r="AN599" s="130"/>
      <c r="AO599" s="130"/>
      <c r="AP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  <c r="AG600" s="130"/>
      <c r="AH600" s="130"/>
      <c r="AI600" s="130"/>
      <c r="AJ600" s="130"/>
      <c r="AK600" s="130"/>
      <c r="AL600" s="130"/>
      <c r="AM600" s="130"/>
      <c r="AN600" s="130"/>
      <c r="AO600" s="130"/>
      <c r="AP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  <c r="AH601" s="130"/>
      <c r="AI601" s="130"/>
      <c r="AJ601" s="130"/>
      <c r="AK601" s="130"/>
      <c r="AL601" s="130"/>
      <c r="AM601" s="130"/>
      <c r="AN601" s="130"/>
      <c r="AO601" s="130"/>
      <c r="AP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  <c r="AG602" s="130"/>
      <c r="AH602" s="130"/>
      <c r="AI602" s="130"/>
      <c r="AJ602" s="130"/>
      <c r="AK602" s="130"/>
      <c r="AL602" s="130"/>
      <c r="AM602" s="130"/>
      <c r="AN602" s="130"/>
      <c r="AO602" s="130"/>
      <c r="AP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  <c r="AG603" s="130"/>
      <c r="AH603" s="130"/>
      <c r="AI603" s="130"/>
      <c r="AJ603" s="130"/>
      <c r="AK603" s="130"/>
      <c r="AL603" s="130"/>
      <c r="AM603" s="130"/>
      <c r="AN603" s="130"/>
      <c r="AO603" s="130"/>
      <c r="AP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  <c r="AG604" s="130"/>
      <c r="AH604" s="130"/>
      <c r="AI604" s="130"/>
      <c r="AJ604" s="130"/>
      <c r="AK604" s="130"/>
      <c r="AL604" s="130"/>
      <c r="AM604" s="130"/>
      <c r="AN604" s="130"/>
      <c r="AO604" s="130"/>
      <c r="AP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  <c r="AG605" s="130"/>
      <c r="AH605" s="130"/>
      <c r="AI605" s="130"/>
      <c r="AJ605" s="130"/>
      <c r="AK605" s="130"/>
      <c r="AL605" s="130"/>
      <c r="AM605" s="130"/>
      <c r="AN605" s="130"/>
      <c r="AO605" s="130"/>
      <c r="AP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  <c r="AG606" s="130"/>
      <c r="AH606" s="130"/>
      <c r="AI606" s="130"/>
      <c r="AJ606" s="130"/>
      <c r="AK606" s="130"/>
      <c r="AL606" s="130"/>
      <c r="AM606" s="130"/>
      <c r="AN606" s="130"/>
      <c r="AO606" s="130"/>
      <c r="AP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  <c r="AG607" s="130"/>
      <c r="AH607" s="130"/>
      <c r="AI607" s="130"/>
      <c r="AJ607" s="130"/>
      <c r="AK607" s="130"/>
      <c r="AL607" s="130"/>
      <c r="AM607" s="130"/>
      <c r="AN607" s="130"/>
      <c r="AO607" s="130"/>
      <c r="AP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  <c r="AG608" s="130"/>
      <c r="AH608" s="130"/>
      <c r="AI608" s="130"/>
      <c r="AJ608" s="130"/>
      <c r="AK608" s="130"/>
      <c r="AL608" s="130"/>
      <c r="AM608" s="130"/>
      <c r="AN608" s="130"/>
      <c r="AO608" s="130"/>
      <c r="AP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  <c r="AH609" s="130"/>
      <c r="AI609" s="130"/>
      <c r="AJ609" s="130"/>
      <c r="AK609" s="130"/>
      <c r="AL609" s="130"/>
      <c r="AM609" s="130"/>
      <c r="AN609" s="130"/>
      <c r="AO609" s="130"/>
      <c r="AP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  <c r="AG610" s="130"/>
      <c r="AH610" s="130"/>
      <c r="AI610" s="130"/>
      <c r="AJ610" s="130"/>
      <c r="AK610" s="130"/>
      <c r="AL610" s="130"/>
      <c r="AM610" s="130"/>
      <c r="AN610" s="130"/>
      <c r="AO610" s="130"/>
      <c r="AP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  <c r="AG611" s="130"/>
      <c r="AH611" s="130"/>
      <c r="AI611" s="130"/>
      <c r="AJ611" s="130"/>
      <c r="AK611" s="130"/>
      <c r="AL611" s="130"/>
      <c r="AM611" s="130"/>
      <c r="AN611" s="130"/>
      <c r="AO611" s="130"/>
      <c r="AP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  <c r="AG612" s="130"/>
      <c r="AH612" s="130"/>
      <c r="AI612" s="130"/>
      <c r="AJ612" s="130"/>
      <c r="AK612" s="130"/>
      <c r="AL612" s="130"/>
      <c r="AM612" s="130"/>
      <c r="AN612" s="130"/>
      <c r="AO612" s="130"/>
      <c r="AP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  <c r="AG613" s="130"/>
      <c r="AH613" s="130"/>
      <c r="AI613" s="130"/>
      <c r="AJ613" s="130"/>
      <c r="AK613" s="130"/>
      <c r="AL613" s="130"/>
      <c r="AM613" s="130"/>
      <c r="AN613" s="130"/>
      <c r="AO613" s="130"/>
      <c r="AP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  <c r="AG614" s="130"/>
      <c r="AH614" s="130"/>
      <c r="AI614" s="130"/>
      <c r="AJ614" s="130"/>
      <c r="AK614" s="130"/>
      <c r="AL614" s="130"/>
      <c r="AM614" s="130"/>
      <c r="AN614" s="130"/>
      <c r="AO614" s="130"/>
      <c r="AP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  <c r="AG615" s="130"/>
      <c r="AH615" s="130"/>
      <c r="AI615" s="130"/>
      <c r="AJ615" s="130"/>
      <c r="AK615" s="130"/>
      <c r="AL615" s="130"/>
      <c r="AM615" s="130"/>
      <c r="AN615" s="130"/>
      <c r="AO615" s="130"/>
      <c r="AP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  <c r="AG616" s="130"/>
      <c r="AH616" s="130"/>
      <c r="AI616" s="130"/>
      <c r="AJ616" s="130"/>
      <c r="AK616" s="130"/>
      <c r="AL616" s="130"/>
      <c r="AM616" s="130"/>
      <c r="AN616" s="130"/>
      <c r="AO616" s="130"/>
      <c r="AP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  <c r="AG617" s="130"/>
      <c r="AH617" s="130"/>
      <c r="AI617" s="130"/>
      <c r="AJ617" s="130"/>
      <c r="AK617" s="130"/>
      <c r="AL617" s="130"/>
      <c r="AM617" s="130"/>
      <c r="AN617" s="130"/>
      <c r="AO617" s="130"/>
      <c r="AP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  <c r="AG618" s="130"/>
      <c r="AH618" s="130"/>
      <c r="AI618" s="130"/>
      <c r="AJ618" s="130"/>
      <c r="AK618" s="130"/>
      <c r="AL618" s="130"/>
      <c r="AM618" s="130"/>
      <c r="AN618" s="130"/>
      <c r="AO618" s="130"/>
      <c r="AP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  <c r="AG619" s="130"/>
      <c r="AH619" s="130"/>
      <c r="AI619" s="130"/>
      <c r="AJ619" s="130"/>
      <c r="AK619" s="130"/>
      <c r="AL619" s="130"/>
      <c r="AM619" s="130"/>
      <c r="AN619" s="130"/>
      <c r="AO619" s="130"/>
      <c r="AP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  <c r="AG620" s="130"/>
      <c r="AH620" s="130"/>
      <c r="AI620" s="130"/>
      <c r="AJ620" s="130"/>
      <c r="AK620" s="130"/>
      <c r="AL620" s="130"/>
      <c r="AM620" s="130"/>
      <c r="AN620" s="130"/>
      <c r="AO620" s="130"/>
      <c r="AP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  <c r="AG621" s="130"/>
      <c r="AH621" s="130"/>
      <c r="AI621" s="130"/>
      <c r="AJ621" s="130"/>
      <c r="AK621" s="130"/>
      <c r="AL621" s="130"/>
      <c r="AM621" s="130"/>
      <c r="AN621" s="130"/>
      <c r="AO621" s="130"/>
      <c r="AP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  <c r="AG622" s="130"/>
      <c r="AH622" s="130"/>
      <c r="AI622" s="130"/>
      <c r="AJ622" s="130"/>
      <c r="AK622" s="130"/>
      <c r="AL622" s="130"/>
      <c r="AM622" s="130"/>
      <c r="AN622" s="130"/>
      <c r="AO622" s="130"/>
      <c r="AP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  <c r="AG623" s="130"/>
      <c r="AH623" s="130"/>
      <c r="AI623" s="130"/>
      <c r="AJ623" s="130"/>
      <c r="AK623" s="130"/>
      <c r="AL623" s="130"/>
      <c r="AM623" s="130"/>
      <c r="AN623" s="130"/>
      <c r="AO623" s="130"/>
      <c r="AP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  <c r="AG624" s="130"/>
      <c r="AH624" s="130"/>
      <c r="AI624" s="130"/>
      <c r="AJ624" s="130"/>
      <c r="AK624" s="130"/>
      <c r="AL624" s="130"/>
      <c r="AM624" s="130"/>
      <c r="AN624" s="130"/>
      <c r="AO624" s="130"/>
      <c r="AP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  <c r="AG625" s="130"/>
      <c r="AH625" s="130"/>
      <c r="AI625" s="130"/>
      <c r="AJ625" s="130"/>
      <c r="AK625" s="130"/>
      <c r="AL625" s="130"/>
      <c r="AM625" s="130"/>
      <c r="AN625" s="130"/>
      <c r="AO625" s="130"/>
      <c r="AP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  <c r="AG626" s="130"/>
      <c r="AH626" s="130"/>
      <c r="AI626" s="130"/>
      <c r="AJ626" s="130"/>
      <c r="AK626" s="130"/>
      <c r="AL626" s="130"/>
      <c r="AM626" s="130"/>
      <c r="AN626" s="130"/>
      <c r="AO626" s="130"/>
      <c r="AP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  <c r="AG627" s="130"/>
      <c r="AH627" s="130"/>
      <c r="AI627" s="130"/>
      <c r="AJ627" s="130"/>
      <c r="AK627" s="130"/>
      <c r="AL627" s="130"/>
      <c r="AM627" s="130"/>
      <c r="AN627" s="130"/>
      <c r="AO627" s="130"/>
      <c r="AP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  <c r="AG628" s="130"/>
      <c r="AH628" s="130"/>
      <c r="AI628" s="130"/>
      <c r="AJ628" s="130"/>
      <c r="AK628" s="130"/>
      <c r="AL628" s="130"/>
      <c r="AM628" s="130"/>
      <c r="AN628" s="130"/>
      <c r="AO628" s="130"/>
      <c r="AP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  <c r="AG629" s="130"/>
      <c r="AH629" s="130"/>
      <c r="AI629" s="130"/>
      <c r="AJ629" s="130"/>
      <c r="AK629" s="130"/>
      <c r="AL629" s="130"/>
      <c r="AM629" s="130"/>
      <c r="AN629" s="130"/>
      <c r="AO629" s="130"/>
      <c r="AP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  <c r="AG630" s="130"/>
      <c r="AH630" s="130"/>
      <c r="AI630" s="130"/>
      <c r="AJ630" s="130"/>
      <c r="AK630" s="130"/>
      <c r="AL630" s="130"/>
      <c r="AM630" s="130"/>
      <c r="AN630" s="130"/>
      <c r="AO630" s="130"/>
      <c r="AP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  <c r="AG631" s="130"/>
      <c r="AH631" s="130"/>
      <c r="AI631" s="130"/>
      <c r="AJ631" s="130"/>
      <c r="AK631" s="130"/>
      <c r="AL631" s="130"/>
      <c r="AM631" s="130"/>
      <c r="AN631" s="130"/>
      <c r="AO631" s="130"/>
      <c r="AP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  <c r="AG632" s="130"/>
      <c r="AH632" s="130"/>
      <c r="AI632" s="130"/>
      <c r="AJ632" s="130"/>
      <c r="AK632" s="130"/>
      <c r="AL632" s="130"/>
      <c r="AM632" s="130"/>
      <c r="AN632" s="130"/>
      <c r="AO632" s="130"/>
      <c r="AP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  <c r="AH633" s="130"/>
      <c r="AI633" s="130"/>
      <c r="AJ633" s="130"/>
      <c r="AK633" s="130"/>
      <c r="AL633" s="130"/>
      <c r="AM633" s="130"/>
      <c r="AN633" s="130"/>
      <c r="AO633" s="130"/>
      <c r="AP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  <c r="AG634" s="130"/>
      <c r="AH634" s="130"/>
      <c r="AI634" s="130"/>
      <c r="AJ634" s="130"/>
      <c r="AK634" s="130"/>
      <c r="AL634" s="130"/>
      <c r="AM634" s="130"/>
      <c r="AN634" s="130"/>
      <c r="AO634" s="130"/>
      <c r="AP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  <c r="AG635" s="130"/>
      <c r="AH635" s="130"/>
      <c r="AI635" s="130"/>
      <c r="AJ635" s="130"/>
      <c r="AK635" s="130"/>
      <c r="AL635" s="130"/>
      <c r="AM635" s="130"/>
      <c r="AN635" s="130"/>
      <c r="AO635" s="130"/>
      <c r="AP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  <c r="AG636" s="130"/>
      <c r="AH636" s="130"/>
      <c r="AI636" s="130"/>
      <c r="AJ636" s="130"/>
      <c r="AK636" s="130"/>
      <c r="AL636" s="130"/>
      <c r="AM636" s="130"/>
      <c r="AN636" s="130"/>
      <c r="AO636" s="130"/>
      <c r="AP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  <c r="AG637" s="130"/>
      <c r="AH637" s="130"/>
      <c r="AI637" s="130"/>
      <c r="AJ637" s="130"/>
      <c r="AK637" s="130"/>
      <c r="AL637" s="130"/>
      <c r="AM637" s="130"/>
      <c r="AN637" s="130"/>
      <c r="AO637" s="130"/>
      <c r="AP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  <c r="AG638" s="130"/>
      <c r="AH638" s="130"/>
      <c r="AI638" s="130"/>
      <c r="AJ638" s="130"/>
      <c r="AK638" s="130"/>
      <c r="AL638" s="130"/>
      <c r="AM638" s="130"/>
      <c r="AN638" s="130"/>
      <c r="AO638" s="130"/>
      <c r="AP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  <c r="AG639" s="130"/>
      <c r="AH639" s="130"/>
      <c r="AI639" s="130"/>
      <c r="AJ639" s="130"/>
      <c r="AK639" s="130"/>
      <c r="AL639" s="130"/>
      <c r="AM639" s="130"/>
      <c r="AN639" s="130"/>
      <c r="AO639" s="130"/>
      <c r="AP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  <c r="AG640" s="130"/>
      <c r="AH640" s="130"/>
      <c r="AI640" s="130"/>
      <c r="AJ640" s="130"/>
      <c r="AK640" s="130"/>
      <c r="AL640" s="130"/>
      <c r="AM640" s="130"/>
      <c r="AN640" s="130"/>
      <c r="AO640" s="130"/>
      <c r="AP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  <c r="AG641" s="130"/>
      <c r="AH641" s="130"/>
      <c r="AI641" s="130"/>
      <c r="AJ641" s="130"/>
      <c r="AK641" s="130"/>
      <c r="AL641" s="130"/>
      <c r="AM641" s="130"/>
      <c r="AN641" s="130"/>
      <c r="AO641" s="130"/>
      <c r="AP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  <c r="AG642" s="130"/>
      <c r="AH642" s="130"/>
      <c r="AI642" s="130"/>
      <c r="AJ642" s="130"/>
      <c r="AK642" s="130"/>
      <c r="AL642" s="130"/>
      <c r="AM642" s="130"/>
      <c r="AN642" s="130"/>
      <c r="AO642" s="130"/>
      <c r="AP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  <c r="AG643" s="130"/>
      <c r="AH643" s="130"/>
      <c r="AI643" s="130"/>
      <c r="AJ643" s="130"/>
      <c r="AK643" s="130"/>
      <c r="AL643" s="130"/>
      <c r="AM643" s="130"/>
      <c r="AN643" s="130"/>
      <c r="AO643" s="130"/>
      <c r="AP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  <c r="AG644" s="130"/>
      <c r="AH644" s="130"/>
      <c r="AI644" s="130"/>
      <c r="AJ644" s="130"/>
      <c r="AK644" s="130"/>
      <c r="AL644" s="130"/>
      <c r="AM644" s="130"/>
      <c r="AN644" s="130"/>
      <c r="AO644" s="130"/>
      <c r="AP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  <c r="AG645" s="130"/>
      <c r="AH645" s="130"/>
      <c r="AI645" s="130"/>
      <c r="AJ645" s="130"/>
      <c r="AK645" s="130"/>
      <c r="AL645" s="130"/>
      <c r="AM645" s="130"/>
      <c r="AN645" s="130"/>
      <c r="AO645" s="130"/>
      <c r="AP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  <c r="AG646" s="130"/>
      <c r="AH646" s="130"/>
      <c r="AI646" s="130"/>
      <c r="AJ646" s="130"/>
      <c r="AK646" s="130"/>
      <c r="AL646" s="130"/>
      <c r="AM646" s="130"/>
      <c r="AN646" s="130"/>
      <c r="AO646" s="130"/>
      <c r="AP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  <c r="AG647" s="130"/>
      <c r="AH647" s="130"/>
      <c r="AI647" s="130"/>
      <c r="AJ647" s="130"/>
      <c r="AK647" s="130"/>
      <c r="AL647" s="130"/>
      <c r="AM647" s="130"/>
      <c r="AN647" s="130"/>
      <c r="AO647" s="130"/>
      <c r="AP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  <c r="AG648" s="130"/>
      <c r="AH648" s="130"/>
      <c r="AI648" s="130"/>
      <c r="AJ648" s="130"/>
      <c r="AK648" s="130"/>
      <c r="AL648" s="130"/>
      <c r="AM648" s="130"/>
      <c r="AN648" s="130"/>
      <c r="AO648" s="130"/>
      <c r="AP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  <c r="AG649" s="130"/>
      <c r="AH649" s="130"/>
      <c r="AI649" s="130"/>
      <c r="AJ649" s="130"/>
      <c r="AK649" s="130"/>
      <c r="AL649" s="130"/>
      <c r="AM649" s="130"/>
      <c r="AN649" s="130"/>
      <c r="AO649" s="130"/>
      <c r="AP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  <c r="AG650" s="130"/>
      <c r="AH650" s="130"/>
      <c r="AI650" s="130"/>
      <c r="AJ650" s="130"/>
      <c r="AK650" s="130"/>
      <c r="AL650" s="130"/>
      <c r="AM650" s="130"/>
      <c r="AN650" s="130"/>
      <c r="AO650" s="130"/>
      <c r="AP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  <c r="AG651" s="130"/>
      <c r="AH651" s="130"/>
      <c r="AI651" s="130"/>
      <c r="AJ651" s="130"/>
      <c r="AK651" s="130"/>
      <c r="AL651" s="130"/>
      <c r="AM651" s="130"/>
      <c r="AN651" s="130"/>
      <c r="AO651" s="130"/>
      <c r="AP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  <c r="AG652" s="130"/>
      <c r="AH652" s="130"/>
      <c r="AI652" s="130"/>
      <c r="AJ652" s="130"/>
      <c r="AK652" s="130"/>
      <c r="AL652" s="130"/>
      <c r="AM652" s="130"/>
      <c r="AN652" s="130"/>
      <c r="AO652" s="130"/>
      <c r="AP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  <c r="AG653" s="130"/>
      <c r="AH653" s="130"/>
      <c r="AI653" s="130"/>
      <c r="AJ653" s="130"/>
      <c r="AK653" s="130"/>
      <c r="AL653" s="130"/>
      <c r="AM653" s="130"/>
      <c r="AN653" s="130"/>
      <c r="AO653" s="130"/>
      <c r="AP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  <c r="AG654" s="130"/>
      <c r="AH654" s="130"/>
      <c r="AI654" s="130"/>
      <c r="AJ654" s="130"/>
      <c r="AK654" s="130"/>
      <c r="AL654" s="130"/>
      <c r="AM654" s="130"/>
      <c r="AN654" s="130"/>
      <c r="AO654" s="130"/>
      <c r="AP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  <c r="AG655" s="130"/>
      <c r="AH655" s="130"/>
      <c r="AI655" s="130"/>
      <c r="AJ655" s="130"/>
      <c r="AK655" s="130"/>
      <c r="AL655" s="130"/>
      <c r="AM655" s="130"/>
      <c r="AN655" s="130"/>
      <c r="AO655" s="130"/>
      <c r="AP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  <c r="AG656" s="130"/>
      <c r="AH656" s="130"/>
      <c r="AI656" s="130"/>
      <c r="AJ656" s="130"/>
      <c r="AK656" s="130"/>
      <c r="AL656" s="130"/>
      <c r="AM656" s="130"/>
      <c r="AN656" s="130"/>
      <c r="AO656" s="130"/>
      <c r="AP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  <c r="AG657" s="130"/>
      <c r="AH657" s="130"/>
      <c r="AI657" s="130"/>
      <c r="AJ657" s="130"/>
      <c r="AK657" s="130"/>
      <c r="AL657" s="130"/>
      <c r="AM657" s="130"/>
      <c r="AN657" s="130"/>
      <c r="AO657" s="130"/>
      <c r="AP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  <c r="AG658" s="130"/>
      <c r="AH658" s="130"/>
      <c r="AI658" s="130"/>
      <c r="AJ658" s="130"/>
      <c r="AK658" s="130"/>
      <c r="AL658" s="130"/>
      <c r="AM658" s="130"/>
      <c r="AN658" s="130"/>
      <c r="AO658" s="130"/>
      <c r="AP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  <c r="AG659" s="130"/>
      <c r="AH659" s="130"/>
      <c r="AI659" s="130"/>
      <c r="AJ659" s="130"/>
      <c r="AK659" s="130"/>
      <c r="AL659" s="130"/>
      <c r="AM659" s="130"/>
      <c r="AN659" s="130"/>
      <c r="AO659" s="130"/>
      <c r="AP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  <c r="AG660" s="130"/>
      <c r="AH660" s="130"/>
      <c r="AI660" s="130"/>
      <c r="AJ660" s="130"/>
      <c r="AK660" s="130"/>
      <c r="AL660" s="130"/>
      <c r="AM660" s="130"/>
      <c r="AN660" s="130"/>
      <c r="AO660" s="130"/>
      <c r="AP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  <c r="AH661" s="130"/>
      <c r="AI661" s="130"/>
      <c r="AJ661" s="130"/>
      <c r="AK661" s="130"/>
      <c r="AL661" s="130"/>
      <c r="AM661" s="130"/>
      <c r="AN661" s="130"/>
      <c r="AO661" s="130"/>
      <c r="AP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  <c r="AG662" s="130"/>
      <c r="AH662" s="130"/>
      <c r="AI662" s="130"/>
      <c r="AJ662" s="130"/>
      <c r="AK662" s="130"/>
      <c r="AL662" s="130"/>
      <c r="AM662" s="130"/>
      <c r="AN662" s="130"/>
      <c r="AO662" s="130"/>
      <c r="AP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  <c r="AG663" s="130"/>
      <c r="AH663" s="130"/>
      <c r="AI663" s="130"/>
      <c r="AJ663" s="130"/>
      <c r="AK663" s="130"/>
      <c r="AL663" s="130"/>
      <c r="AM663" s="130"/>
      <c r="AN663" s="130"/>
      <c r="AO663" s="130"/>
      <c r="AP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  <c r="AG664" s="130"/>
      <c r="AH664" s="130"/>
      <c r="AI664" s="130"/>
      <c r="AJ664" s="130"/>
      <c r="AK664" s="130"/>
      <c r="AL664" s="130"/>
      <c r="AM664" s="130"/>
      <c r="AN664" s="130"/>
      <c r="AO664" s="130"/>
      <c r="AP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  <c r="AG665" s="130"/>
      <c r="AH665" s="130"/>
      <c r="AI665" s="130"/>
      <c r="AJ665" s="130"/>
      <c r="AK665" s="130"/>
      <c r="AL665" s="130"/>
      <c r="AM665" s="130"/>
      <c r="AN665" s="130"/>
      <c r="AO665" s="130"/>
      <c r="AP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  <c r="AG666" s="130"/>
      <c r="AH666" s="130"/>
      <c r="AI666" s="130"/>
      <c r="AJ666" s="130"/>
      <c r="AK666" s="130"/>
      <c r="AL666" s="130"/>
      <c r="AM666" s="130"/>
      <c r="AN666" s="130"/>
      <c r="AO666" s="130"/>
      <c r="AP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  <c r="AG667" s="130"/>
      <c r="AH667" s="130"/>
      <c r="AI667" s="130"/>
      <c r="AJ667" s="130"/>
      <c r="AK667" s="130"/>
      <c r="AL667" s="130"/>
      <c r="AM667" s="130"/>
      <c r="AN667" s="130"/>
      <c r="AO667" s="130"/>
      <c r="AP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  <c r="AG668" s="130"/>
      <c r="AH668" s="130"/>
      <c r="AI668" s="130"/>
      <c r="AJ668" s="130"/>
      <c r="AK668" s="130"/>
      <c r="AL668" s="130"/>
      <c r="AM668" s="130"/>
      <c r="AN668" s="130"/>
      <c r="AO668" s="130"/>
      <c r="AP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  <c r="AG669" s="130"/>
      <c r="AH669" s="130"/>
      <c r="AI669" s="130"/>
      <c r="AJ669" s="130"/>
      <c r="AK669" s="130"/>
      <c r="AL669" s="130"/>
      <c r="AM669" s="130"/>
      <c r="AN669" s="130"/>
      <c r="AO669" s="130"/>
      <c r="AP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  <c r="AG670" s="130"/>
      <c r="AH670" s="130"/>
      <c r="AI670" s="130"/>
      <c r="AJ670" s="130"/>
      <c r="AK670" s="130"/>
      <c r="AL670" s="130"/>
      <c r="AM670" s="130"/>
      <c r="AN670" s="130"/>
      <c r="AO670" s="130"/>
      <c r="AP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  <c r="AG671" s="130"/>
      <c r="AH671" s="130"/>
      <c r="AI671" s="130"/>
      <c r="AJ671" s="130"/>
      <c r="AK671" s="130"/>
      <c r="AL671" s="130"/>
      <c r="AM671" s="130"/>
      <c r="AN671" s="130"/>
      <c r="AO671" s="130"/>
      <c r="AP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  <c r="AK672" s="130"/>
      <c r="AL672" s="130"/>
      <c r="AM672" s="130"/>
      <c r="AN672" s="130"/>
      <c r="AO672" s="130"/>
      <c r="AP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  <c r="AG673" s="130"/>
      <c r="AH673" s="130"/>
      <c r="AI673" s="130"/>
      <c r="AJ673" s="130"/>
      <c r="AK673" s="130"/>
      <c r="AL673" s="130"/>
      <c r="AM673" s="130"/>
      <c r="AN673" s="130"/>
      <c r="AO673" s="130"/>
      <c r="AP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  <c r="AG674" s="130"/>
      <c r="AH674" s="130"/>
      <c r="AI674" s="130"/>
      <c r="AJ674" s="130"/>
      <c r="AK674" s="130"/>
      <c r="AL674" s="130"/>
      <c r="AM674" s="130"/>
      <c r="AN674" s="130"/>
      <c r="AO674" s="130"/>
      <c r="AP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  <c r="AG675" s="130"/>
      <c r="AH675" s="130"/>
      <c r="AI675" s="130"/>
      <c r="AJ675" s="130"/>
      <c r="AK675" s="130"/>
      <c r="AL675" s="130"/>
      <c r="AM675" s="130"/>
      <c r="AN675" s="130"/>
      <c r="AO675" s="130"/>
      <c r="AP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  <c r="AG676" s="130"/>
      <c r="AH676" s="130"/>
      <c r="AI676" s="130"/>
      <c r="AJ676" s="130"/>
      <c r="AK676" s="130"/>
      <c r="AL676" s="130"/>
      <c r="AM676" s="130"/>
      <c r="AN676" s="130"/>
      <c r="AO676" s="130"/>
      <c r="AP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  <c r="AG677" s="130"/>
      <c r="AH677" s="130"/>
      <c r="AI677" s="130"/>
      <c r="AJ677" s="130"/>
      <c r="AK677" s="130"/>
      <c r="AL677" s="130"/>
      <c r="AM677" s="130"/>
      <c r="AN677" s="130"/>
      <c r="AO677" s="130"/>
      <c r="AP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  <c r="AG678" s="130"/>
      <c r="AH678" s="130"/>
      <c r="AI678" s="130"/>
      <c r="AJ678" s="130"/>
      <c r="AK678" s="130"/>
      <c r="AL678" s="130"/>
      <c r="AM678" s="130"/>
      <c r="AN678" s="130"/>
      <c r="AO678" s="130"/>
      <c r="AP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  <c r="AG679" s="130"/>
      <c r="AH679" s="130"/>
      <c r="AI679" s="130"/>
      <c r="AJ679" s="130"/>
      <c r="AK679" s="130"/>
      <c r="AL679" s="130"/>
      <c r="AM679" s="130"/>
      <c r="AN679" s="130"/>
      <c r="AO679" s="130"/>
      <c r="AP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  <c r="AG680" s="130"/>
      <c r="AH680" s="130"/>
      <c r="AI680" s="130"/>
      <c r="AJ680" s="130"/>
      <c r="AK680" s="130"/>
      <c r="AL680" s="130"/>
      <c r="AM680" s="130"/>
      <c r="AN680" s="130"/>
      <c r="AO680" s="130"/>
      <c r="AP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  <c r="AG681" s="130"/>
      <c r="AH681" s="130"/>
      <c r="AI681" s="130"/>
      <c r="AJ681" s="130"/>
      <c r="AK681" s="130"/>
      <c r="AL681" s="130"/>
      <c r="AM681" s="130"/>
      <c r="AN681" s="130"/>
      <c r="AO681" s="130"/>
      <c r="AP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  <c r="AG682" s="130"/>
      <c r="AH682" s="130"/>
      <c r="AI682" s="130"/>
      <c r="AJ682" s="130"/>
      <c r="AK682" s="130"/>
      <c r="AL682" s="130"/>
      <c r="AM682" s="130"/>
      <c r="AN682" s="130"/>
      <c r="AO682" s="130"/>
      <c r="AP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  <c r="AG683" s="130"/>
      <c r="AH683" s="130"/>
      <c r="AI683" s="130"/>
      <c r="AJ683" s="130"/>
      <c r="AK683" s="130"/>
      <c r="AL683" s="130"/>
      <c r="AM683" s="130"/>
      <c r="AN683" s="130"/>
      <c r="AO683" s="130"/>
      <c r="AP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  <c r="AG684" s="130"/>
      <c r="AH684" s="130"/>
      <c r="AI684" s="130"/>
      <c r="AJ684" s="130"/>
      <c r="AK684" s="130"/>
      <c r="AL684" s="130"/>
      <c r="AM684" s="130"/>
      <c r="AN684" s="130"/>
      <c r="AO684" s="130"/>
      <c r="AP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  <c r="AG685" s="130"/>
      <c r="AH685" s="130"/>
      <c r="AI685" s="130"/>
      <c r="AJ685" s="130"/>
      <c r="AK685" s="130"/>
      <c r="AL685" s="130"/>
      <c r="AM685" s="130"/>
      <c r="AN685" s="130"/>
      <c r="AO685" s="130"/>
      <c r="AP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  <c r="AM686" s="130"/>
      <c r="AN686" s="130"/>
      <c r="AO686" s="130"/>
      <c r="AP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  <c r="AG687" s="130"/>
      <c r="AH687" s="130"/>
      <c r="AI687" s="130"/>
      <c r="AJ687" s="130"/>
      <c r="AK687" s="130"/>
      <c r="AL687" s="130"/>
      <c r="AM687" s="130"/>
      <c r="AN687" s="130"/>
      <c r="AO687" s="130"/>
      <c r="AP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  <c r="AG688" s="130"/>
      <c r="AH688" s="130"/>
      <c r="AI688" s="130"/>
      <c r="AJ688" s="130"/>
      <c r="AK688" s="130"/>
      <c r="AL688" s="130"/>
      <c r="AM688" s="130"/>
      <c r="AN688" s="130"/>
      <c r="AO688" s="130"/>
      <c r="AP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  <c r="AG689" s="130"/>
      <c r="AH689" s="130"/>
      <c r="AI689" s="130"/>
      <c r="AJ689" s="130"/>
      <c r="AK689" s="130"/>
      <c r="AL689" s="130"/>
      <c r="AM689" s="130"/>
      <c r="AN689" s="130"/>
      <c r="AO689" s="130"/>
      <c r="AP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  <c r="AG690" s="130"/>
      <c r="AH690" s="130"/>
      <c r="AI690" s="130"/>
      <c r="AJ690" s="130"/>
      <c r="AK690" s="130"/>
      <c r="AL690" s="130"/>
      <c r="AM690" s="130"/>
      <c r="AN690" s="130"/>
      <c r="AO690" s="130"/>
      <c r="AP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  <c r="AG691" s="130"/>
      <c r="AH691" s="130"/>
      <c r="AI691" s="130"/>
      <c r="AJ691" s="130"/>
      <c r="AK691" s="130"/>
      <c r="AL691" s="130"/>
      <c r="AM691" s="130"/>
      <c r="AN691" s="130"/>
      <c r="AO691" s="130"/>
      <c r="AP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  <c r="AG692" s="130"/>
      <c r="AH692" s="130"/>
      <c r="AI692" s="130"/>
      <c r="AJ692" s="130"/>
      <c r="AK692" s="130"/>
      <c r="AL692" s="130"/>
      <c r="AM692" s="130"/>
      <c r="AN692" s="130"/>
      <c r="AO692" s="130"/>
      <c r="AP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  <c r="AG693" s="130"/>
      <c r="AH693" s="130"/>
      <c r="AI693" s="130"/>
      <c r="AJ693" s="130"/>
      <c r="AK693" s="130"/>
      <c r="AL693" s="130"/>
      <c r="AM693" s="130"/>
      <c r="AN693" s="130"/>
      <c r="AO693" s="130"/>
      <c r="AP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  <c r="AG694" s="130"/>
      <c r="AH694" s="130"/>
      <c r="AI694" s="130"/>
      <c r="AJ694" s="130"/>
      <c r="AK694" s="130"/>
      <c r="AL694" s="130"/>
      <c r="AM694" s="130"/>
      <c r="AN694" s="130"/>
      <c r="AO694" s="130"/>
      <c r="AP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  <c r="AG695" s="130"/>
      <c r="AH695" s="130"/>
      <c r="AI695" s="130"/>
      <c r="AJ695" s="130"/>
      <c r="AK695" s="130"/>
      <c r="AL695" s="130"/>
      <c r="AM695" s="130"/>
      <c r="AN695" s="130"/>
      <c r="AO695" s="130"/>
      <c r="AP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  <c r="AG696" s="130"/>
      <c r="AH696" s="130"/>
      <c r="AI696" s="130"/>
      <c r="AJ696" s="130"/>
      <c r="AK696" s="130"/>
      <c r="AL696" s="130"/>
      <c r="AM696" s="130"/>
      <c r="AN696" s="130"/>
      <c r="AO696" s="130"/>
      <c r="AP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  <c r="AG697" s="130"/>
      <c r="AH697" s="130"/>
      <c r="AI697" s="130"/>
      <c r="AJ697" s="130"/>
      <c r="AK697" s="130"/>
      <c r="AL697" s="130"/>
      <c r="AM697" s="130"/>
      <c r="AN697" s="130"/>
      <c r="AO697" s="130"/>
      <c r="AP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  <c r="AG698" s="130"/>
      <c r="AH698" s="130"/>
      <c r="AI698" s="130"/>
      <c r="AJ698" s="130"/>
      <c r="AK698" s="130"/>
      <c r="AL698" s="130"/>
      <c r="AM698" s="130"/>
      <c r="AN698" s="130"/>
      <c r="AO698" s="130"/>
      <c r="AP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  <c r="AG699" s="130"/>
      <c r="AH699" s="130"/>
      <c r="AI699" s="130"/>
      <c r="AJ699" s="130"/>
      <c r="AK699" s="130"/>
      <c r="AL699" s="130"/>
      <c r="AM699" s="130"/>
      <c r="AN699" s="130"/>
      <c r="AO699" s="130"/>
      <c r="AP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  <c r="AK700" s="130"/>
      <c r="AL700" s="130"/>
      <c r="AM700" s="130"/>
      <c r="AN700" s="130"/>
      <c r="AO700" s="130"/>
      <c r="AP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  <c r="AG701" s="130"/>
      <c r="AH701" s="130"/>
      <c r="AI701" s="130"/>
      <c r="AJ701" s="130"/>
      <c r="AK701" s="130"/>
      <c r="AL701" s="130"/>
      <c r="AM701" s="130"/>
      <c r="AN701" s="130"/>
      <c r="AO701" s="130"/>
      <c r="AP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  <c r="AG702" s="130"/>
      <c r="AH702" s="130"/>
      <c r="AI702" s="130"/>
      <c r="AJ702" s="130"/>
      <c r="AK702" s="130"/>
      <c r="AL702" s="130"/>
      <c r="AM702" s="130"/>
      <c r="AN702" s="130"/>
      <c r="AO702" s="130"/>
      <c r="AP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  <c r="AG703" s="130"/>
      <c r="AH703" s="130"/>
      <c r="AI703" s="130"/>
      <c r="AJ703" s="130"/>
      <c r="AK703" s="130"/>
      <c r="AL703" s="130"/>
      <c r="AM703" s="130"/>
      <c r="AN703" s="130"/>
      <c r="AO703" s="130"/>
      <c r="AP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  <c r="AG704" s="130"/>
      <c r="AH704" s="130"/>
      <c r="AI704" s="130"/>
      <c r="AJ704" s="130"/>
      <c r="AK704" s="130"/>
      <c r="AL704" s="130"/>
      <c r="AM704" s="130"/>
      <c r="AN704" s="130"/>
      <c r="AO704" s="130"/>
      <c r="AP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  <c r="AG705" s="130"/>
      <c r="AH705" s="130"/>
      <c r="AI705" s="130"/>
      <c r="AJ705" s="130"/>
      <c r="AK705" s="130"/>
      <c r="AL705" s="130"/>
      <c r="AM705" s="130"/>
      <c r="AN705" s="130"/>
      <c r="AO705" s="130"/>
      <c r="AP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  <c r="AG706" s="130"/>
      <c r="AH706" s="130"/>
      <c r="AI706" s="130"/>
      <c r="AJ706" s="130"/>
      <c r="AK706" s="130"/>
      <c r="AL706" s="130"/>
      <c r="AM706" s="130"/>
      <c r="AN706" s="130"/>
      <c r="AO706" s="130"/>
      <c r="AP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  <c r="AG707" s="130"/>
      <c r="AH707" s="130"/>
      <c r="AI707" s="130"/>
      <c r="AJ707" s="130"/>
      <c r="AK707" s="130"/>
      <c r="AL707" s="130"/>
      <c r="AM707" s="130"/>
      <c r="AN707" s="130"/>
      <c r="AO707" s="130"/>
      <c r="AP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  <c r="AG708" s="130"/>
      <c r="AH708" s="130"/>
      <c r="AI708" s="130"/>
      <c r="AJ708" s="130"/>
      <c r="AK708" s="130"/>
      <c r="AL708" s="130"/>
      <c r="AM708" s="130"/>
      <c r="AN708" s="130"/>
      <c r="AO708" s="130"/>
      <c r="AP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  <c r="AH709" s="130"/>
      <c r="AI709" s="130"/>
      <c r="AJ709" s="130"/>
      <c r="AK709" s="130"/>
      <c r="AL709" s="130"/>
      <c r="AM709" s="130"/>
      <c r="AN709" s="130"/>
      <c r="AO709" s="130"/>
      <c r="AP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  <c r="AG710" s="130"/>
      <c r="AH710" s="130"/>
      <c r="AI710" s="130"/>
      <c r="AJ710" s="130"/>
      <c r="AK710" s="130"/>
      <c r="AL710" s="130"/>
      <c r="AM710" s="130"/>
      <c r="AN710" s="130"/>
      <c r="AO710" s="130"/>
      <c r="AP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  <c r="AG711" s="130"/>
      <c r="AH711" s="130"/>
      <c r="AI711" s="130"/>
      <c r="AJ711" s="130"/>
      <c r="AK711" s="130"/>
      <c r="AL711" s="130"/>
      <c r="AM711" s="130"/>
      <c r="AN711" s="130"/>
      <c r="AO711" s="130"/>
      <c r="AP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  <c r="AG712" s="130"/>
      <c r="AH712" s="130"/>
      <c r="AI712" s="130"/>
      <c r="AJ712" s="130"/>
      <c r="AK712" s="130"/>
      <c r="AL712" s="130"/>
      <c r="AM712" s="130"/>
      <c r="AN712" s="130"/>
      <c r="AO712" s="130"/>
      <c r="AP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  <c r="AG713" s="130"/>
      <c r="AH713" s="130"/>
      <c r="AI713" s="130"/>
      <c r="AJ713" s="130"/>
      <c r="AK713" s="130"/>
      <c r="AL713" s="130"/>
      <c r="AM713" s="130"/>
      <c r="AN713" s="130"/>
      <c r="AO713" s="130"/>
      <c r="AP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  <c r="AK714" s="130"/>
      <c r="AL714" s="130"/>
      <c r="AM714" s="130"/>
      <c r="AN714" s="130"/>
      <c r="AO714" s="130"/>
      <c r="AP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  <c r="AG715" s="130"/>
      <c r="AH715" s="130"/>
      <c r="AI715" s="130"/>
      <c r="AJ715" s="130"/>
      <c r="AK715" s="130"/>
      <c r="AL715" s="130"/>
      <c r="AM715" s="130"/>
      <c r="AN715" s="130"/>
      <c r="AO715" s="130"/>
      <c r="AP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  <c r="AG716" s="130"/>
      <c r="AH716" s="130"/>
      <c r="AI716" s="130"/>
      <c r="AJ716" s="130"/>
      <c r="AK716" s="130"/>
      <c r="AL716" s="130"/>
      <c r="AM716" s="130"/>
      <c r="AN716" s="130"/>
      <c r="AO716" s="130"/>
      <c r="AP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  <c r="AG717" s="130"/>
      <c r="AH717" s="130"/>
      <c r="AI717" s="130"/>
      <c r="AJ717" s="130"/>
      <c r="AK717" s="130"/>
      <c r="AL717" s="130"/>
      <c r="AM717" s="130"/>
      <c r="AN717" s="130"/>
      <c r="AO717" s="130"/>
      <c r="AP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  <c r="AG718" s="130"/>
      <c r="AH718" s="130"/>
      <c r="AI718" s="130"/>
      <c r="AJ718" s="130"/>
      <c r="AK718" s="130"/>
      <c r="AL718" s="130"/>
      <c r="AM718" s="130"/>
      <c r="AN718" s="130"/>
      <c r="AO718" s="130"/>
      <c r="AP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  <c r="AG719" s="130"/>
      <c r="AH719" s="130"/>
      <c r="AI719" s="130"/>
      <c r="AJ719" s="130"/>
      <c r="AK719" s="130"/>
      <c r="AL719" s="130"/>
      <c r="AM719" s="130"/>
      <c r="AN719" s="130"/>
      <c r="AO719" s="130"/>
      <c r="AP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  <c r="AG720" s="130"/>
      <c r="AH720" s="130"/>
      <c r="AI720" s="130"/>
      <c r="AJ720" s="130"/>
      <c r="AK720" s="130"/>
      <c r="AL720" s="130"/>
      <c r="AM720" s="130"/>
      <c r="AN720" s="130"/>
      <c r="AO720" s="130"/>
      <c r="AP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  <c r="AG721" s="130"/>
      <c r="AH721" s="130"/>
      <c r="AI721" s="130"/>
      <c r="AJ721" s="130"/>
      <c r="AK721" s="130"/>
      <c r="AL721" s="130"/>
      <c r="AM721" s="130"/>
      <c r="AN721" s="130"/>
      <c r="AO721" s="130"/>
      <c r="AP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  <c r="AG722" s="130"/>
      <c r="AH722" s="130"/>
      <c r="AI722" s="130"/>
      <c r="AJ722" s="130"/>
      <c r="AK722" s="130"/>
      <c r="AL722" s="130"/>
      <c r="AM722" s="130"/>
      <c r="AN722" s="130"/>
      <c r="AO722" s="130"/>
      <c r="AP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  <c r="AG723" s="130"/>
      <c r="AH723" s="130"/>
      <c r="AI723" s="130"/>
      <c r="AJ723" s="130"/>
      <c r="AK723" s="130"/>
      <c r="AL723" s="130"/>
      <c r="AM723" s="130"/>
      <c r="AN723" s="130"/>
      <c r="AO723" s="130"/>
      <c r="AP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  <c r="AG724" s="130"/>
      <c r="AH724" s="130"/>
      <c r="AI724" s="130"/>
      <c r="AJ724" s="130"/>
      <c r="AK724" s="130"/>
      <c r="AL724" s="130"/>
      <c r="AM724" s="130"/>
      <c r="AN724" s="130"/>
      <c r="AO724" s="130"/>
      <c r="AP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  <c r="AG725" s="130"/>
      <c r="AH725" s="130"/>
      <c r="AI725" s="130"/>
      <c r="AJ725" s="130"/>
      <c r="AK725" s="130"/>
      <c r="AL725" s="130"/>
      <c r="AM725" s="130"/>
      <c r="AN725" s="130"/>
      <c r="AO725" s="130"/>
      <c r="AP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  <c r="AG726" s="130"/>
      <c r="AH726" s="130"/>
      <c r="AI726" s="130"/>
      <c r="AJ726" s="130"/>
      <c r="AK726" s="130"/>
      <c r="AL726" s="130"/>
      <c r="AM726" s="130"/>
      <c r="AN726" s="130"/>
      <c r="AO726" s="130"/>
      <c r="AP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  <c r="AG727" s="130"/>
      <c r="AH727" s="130"/>
      <c r="AI727" s="130"/>
      <c r="AJ727" s="130"/>
      <c r="AK727" s="130"/>
      <c r="AL727" s="130"/>
      <c r="AM727" s="130"/>
      <c r="AN727" s="130"/>
      <c r="AO727" s="130"/>
      <c r="AP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  <c r="AK728" s="130"/>
      <c r="AL728" s="130"/>
      <c r="AM728" s="130"/>
      <c r="AN728" s="130"/>
      <c r="AO728" s="130"/>
      <c r="AP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  <c r="AH729" s="130"/>
      <c r="AI729" s="130"/>
      <c r="AJ729" s="130"/>
      <c r="AK729" s="130"/>
      <c r="AL729" s="130"/>
      <c r="AM729" s="130"/>
      <c r="AN729" s="130"/>
      <c r="AO729" s="130"/>
      <c r="AP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  <c r="AG730" s="130"/>
      <c r="AH730" s="130"/>
      <c r="AI730" s="130"/>
      <c r="AJ730" s="130"/>
      <c r="AK730" s="130"/>
      <c r="AL730" s="130"/>
      <c r="AM730" s="130"/>
      <c r="AN730" s="130"/>
      <c r="AO730" s="130"/>
      <c r="AP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  <c r="AG731" s="130"/>
      <c r="AH731" s="130"/>
      <c r="AI731" s="130"/>
      <c r="AJ731" s="130"/>
      <c r="AK731" s="130"/>
      <c r="AL731" s="130"/>
      <c r="AM731" s="130"/>
      <c r="AN731" s="130"/>
      <c r="AO731" s="130"/>
      <c r="AP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  <c r="AG732" s="130"/>
      <c r="AH732" s="130"/>
      <c r="AI732" s="130"/>
      <c r="AJ732" s="130"/>
      <c r="AK732" s="130"/>
      <c r="AL732" s="130"/>
      <c r="AM732" s="130"/>
      <c r="AN732" s="130"/>
      <c r="AO732" s="130"/>
      <c r="AP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  <c r="AG733" s="130"/>
      <c r="AH733" s="130"/>
      <c r="AI733" s="130"/>
      <c r="AJ733" s="130"/>
      <c r="AK733" s="130"/>
      <c r="AL733" s="130"/>
      <c r="AM733" s="130"/>
      <c r="AN733" s="130"/>
      <c r="AO733" s="130"/>
      <c r="AP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  <c r="AG734" s="130"/>
      <c r="AH734" s="130"/>
      <c r="AI734" s="130"/>
      <c r="AJ734" s="130"/>
      <c r="AK734" s="130"/>
      <c r="AL734" s="130"/>
      <c r="AM734" s="130"/>
      <c r="AN734" s="130"/>
      <c r="AO734" s="130"/>
      <c r="AP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  <c r="AG735" s="130"/>
      <c r="AH735" s="130"/>
      <c r="AI735" s="130"/>
      <c r="AJ735" s="130"/>
      <c r="AK735" s="130"/>
      <c r="AL735" s="130"/>
      <c r="AM735" s="130"/>
      <c r="AN735" s="130"/>
      <c r="AO735" s="130"/>
      <c r="AP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  <c r="AG736" s="130"/>
      <c r="AH736" s="130"/>
      <c r="AI736" s="130"/>
      <c r="AJ736" s="130"/>
      <c r="AK736" s="130"/>
      <c r="AL736" s="130"/>
      <c r="AM736" s="130"/>
      <c r="AN736" s="130"/>
      <c r="AO736" s="130"/>
      <c r="AP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  <c r="AG737" s="130"/>
      <c r="AH737" s="130"/>
      <c r="AI737" s="130"/>
      <c r="AJ737" s="130"/>
      <c r="AK737" s="130"/>
      <c r="AL737" s="130"/>
      <c r="AM737" s="130"/>
      <c r="AN737" s="130"/>
      <c r="AO737" s="130"/>
      <c r="AP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  <c r="AG738" s="130"/>
      <c r="AH738" s="130"/>
      <c r="AI738" s="130"/>
      <c r="AJ738" s="130"/>
      <c r="AK738" s="130"/>
      <c r="AL738" s="130"/>
      <c r="AM738" s="130"/>
      <c r="AN738" s="130"/>
      <c r="AO738" s="130"/>
      <c r="AP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  <c r="AH739" s="130"/>
      <c r="AI739" s="130"/>
      <c r="AJ739" s="130"/>
      <c r="AK739" s="130"/>
      <c r="AL739" s="130"/>
      <c r="AM739" s="130"/>
      <c r="AN739" s="130"/>
      <c r="AO739" s="130"/>
      <c r="AP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  <c r="AG740" s="130"/>
      <c r="AH740" s="130"/>
      <c r="AI740" s="130"/>
      <c r="AJ740" s="130"/>
      <c r="AK740" s="130"/>
      <c r="AL740" s="130"/>
      <c r="AM740" s="130"/>
      <c r="AN740" s="130"/>
      <c r="AO740" s="130"/>
      <c r="AP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  <c r="AG741" s="130"/>
      <c r="AH741" s="130"/>
      <c r="AI741" s="130"/>
      <c r="AJ741" s="130"/>
      <c r="AK741" s="130"/>
      <c r="AL741" s="130"/>
      <c r="AM741" s="130"/>
      <c r="AN741" s="130"/>
      <c r="AO741" s="130"/>
      <c r="AP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  <c r="AK742" s="130"/>
      <c r="AL742" s="130"/>
      <c r="AM742" s="130"/>
      <c r="AN742" s="130"/>
      <c r="AO742" s="130"/>
      <c r="AP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  <c r="AG743" s="130"/>
      <c r="AH743" s="130"/>
      <c r="AI743" s="130"/>
      <c r="AJ743" s="130"/>
      <c r="AK743" s="130"/>
      <c r="AL743" s="130"/>
      <c r="AM743" s="130"/>
      <c r="AN743" s="130"/>
      <c r="AO743" s="130"/>
      <c r="AP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  <c r="AG744" s="130"/>
      <c r="AH744" s="130"/>
      <c r="AI744" s="130"/>
      <c r="AJ744" s="130"/>
      <c r="AK744" s="130"/>
      <c r="AL744" s="130"/>
      <c r="AM744" s="130"/>
      <c r="AN744" s="130"/>
      <c r="AO744" s="130"/>
      <c r="AP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  <c r="AG745" s="130"/>
      <c r="AH745" s="130"/>
      <c r="AI745" s="130"/>
      <c r="AJ745" s="130"/>
      <c r="AK745" s="130"/>
      <c r="AL745" s="130"/>
      <c r="AM745" s="130"/>
      <c r="AN745" s="130"/>
      <c r="AO745" s="130"/>
      <c r="AP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  <c r="AG746" s="130"/>
      <c r="AH746" s="130"/>
      <c r="AI746" s="130"/>
      <c r="AJ746" s="130"/>
      <c r="AK746" s="130"/>
      <c r="AL746" s="130"/>
      <c r="AM746" s="130"/>
      <c r="AN746" s="130"/>
      <c r="AO746" s="130"/>
      <c r="AP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  <c r="AG747" s="130"/>
      <c r="AH747" s="130"/>
      <c r="AI747" s="130"/>
      <c r="AJ747" s="130"/>
      <c r="AK747" s="130"/>
      <c r="AL747" s="130"/>
      <c r="AM747" s="130"/>
      <c r="AN747" s="130"/>
      <c r="AO747" s="130"/>
      <c r="AP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  <c r="AG748" s="130"/>
      <c r="AH748" s="130"/>
      <c r="AI748" s="130"/>
      <c r="AJ748" s="130"/>
      <c r="AK748" s="130"/>
      <c r="AL748" s="130"/>
      <c r="AM748" s="130"/>
      <c r="AN748" s="130"/>
      <c r="AO748" s="130"/>
      <c r="AP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  <c r="AG749" s="130"/>
      <c r="AH749" s="130"/>
      <c r="AI749" s="130"/>
      <c r="AJ749" s="130"/>
      <c r="AK749" s="130"/>
      <c r="AL749" s="130"/>
      <c r="AM749" s="130"/>
      <c r="AN749" s="130"/>
      <c r="AO749" s="130"/>
      <c r="AP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  <c r="AG750" s="130"/>
      <c r="AH750" s="130"/>
      <c r="AI750" s="130"/>
      <c r="AJ750" s="130"/>
      <c r="AK750" s="130"/>
      <c r="AL750" s="130"/>
      <c r="AM750" s="130"/>
      <c r="AN750" s="130"/>
      <c r="AO750" s="130"/>
      <c r="AP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  <c r="AG751" s="130"/>
      <c r="AH751" s="130"/>
      <c r="AI751" s="130"/>
      <c r="AJ751" s="130"/>
      <c r="AK751" s="130"/>
      <c r="AL751" s="130"/>
      <c r="AM751" s="130"/>
      <c r="AN751" s="130"/>
      <c r="AO751" s="130"/>
      <c r="AP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  <c r="AG752" s="130"/>
      <c r="AH752" s="130"/>
      <c r="AI752" s="130"/>
      <c r="AJ752" s="130"/>
      <c r="AK752" s="130"/>
      <c r="AL752" s="130"/>
      <c r="AM752" s="130"/>
      <c r="AN752" s="130"/>
      <c r="AO752" s="130"/>
      <c r="AP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  <c r="AG753" s="130"/>
      <c r="AH753" s="130"/>
      <c r="AI753" s="130"/>
      <c r="AJ753" s="130"/>
      <c r="AK753" s="130"/>
      <c r="AL753" s="130"/>
      <c r="AM753" s="130"/>
      <c r="AN753" s="130"/>
      <c r="AO753" s="130"/>
      <c r="AP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  <c r="AG754" s="130"/>
      <c r="AH754" s="130"/>
      <c r="AI754" s="130"/>
      <c r="AJ754" s="130"/>
      <c r="AK754" s="130"/>
      <c r="AL754" s="130"/>
      <c r="AM754" s="130"/>
      <c r="AN754" s="130"/>
      <c r="AO754" s="130"/>
      <c r="AP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  <c r="AG755" s="130"/>
      <c r="AH755" s="130"/>
      <c r="AI755" s="130"/>
      <c r="AJ755" s="130"/>
      <c r="AK755" s="130"/>
      <c r="AL755" s="130"/>
      <c r="AM755" s="130"/>
      <c r="AN755" s="130"/>
      <c r="AO755" s="130"/>
      <c r="AP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  <c r="AK756" s="130"/>
      <c r="AL756" s="130"/>
      <c r="AM756" s="130"/>
      <c r="AN756" s="130"/>
      <c r="AO756" s="130"/>
      <c r="AP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  <c r="AG757" s="130"/>
      <c r="AH757" s="130"/>
      <c r="AI757" s="130"/>
      <c r="AJ757" s="130"/>
      <c r="AK757" s="130"/>
      <c r="AL757" s="130"/>
      <c r="AM757" s="130"/>
      <c r="AN757" s="130"/>
      <c r="AO757" s="130"/>
      <c r="AP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  <c r="AG758" s="130"/>
      <c r="AH758" s="130"/>
      <c r="AI758" s="130"/>
      <c r="AJ758" s="130"/>
      <c r="AK758" s="130"/>
      <c r="AL758" s="130"/>
      <c r="AM758" s="130"/>
      <c r="AN758" s="130"/>
      <c r="AO758" s="130"/>
      <c r="AP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  <c r="AG759" s="130"/>
      <c r="AH759" s="130"/>
      <c r="AI759" s="130"/>
      <c r="AJ759" s="130"/>
      <c r="AK759" s="130"/>
      <c r="AL759" s="130"/>
      <c r="AM759" s="130"/>
      <c r="AN759" s="130"/>
      <c r="AO759" s="130"/>
      <c r="AP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  <c r="AG760" s="130"/>
      <c r="AH760" s="130"/>
      <c r="AI760" s="130"/>
      <c r="AJ760" s="130"/>
      <c r="AK760" s="130"/>
      <c r="AL760" s="130"/>
      <c r="AM760" s="130"/>
      <c r="AN760" s="130"/>
      <c r="AO760" s="130"/>
      <c r="AP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  <c r="AH761" s="130"/>
      <c r="AI761" s="130"/>
      <c r="AJ761" s="130"/>
      <c r="AK761" s="130"/>
      <c r="AL761" s="130"/>
      <c r="AM761" s="130"/>
      <c r="AN761" s="130"/>
      <c r="AO761" s="130"/>
      <c r="AP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  <c r="AG762" s="130"/>
      <c r="AH762" s="130"/>
      <c r="AI762" s="130"/>
      <c r="AJ762" s="130"/>
      <c r="AK762" s="130"/>
      <c r="AL762" s="130"/>
      <c r="AM762" s="130"/>
      <c r="AN762" s="130"/>
      <c r="AO762" s="130"/>
      <c r="AP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  <c r="AG763" s="130"/>
      <c r="AH763" s="130"/>
      <c r="AI763" s="130"/>
      <c r="AJ763" s="130"/>
      <c r="AK763" s="130"/>
      <c r="AL763" s="130"/>
      <c r="AM763" s="130"/>
      <c r="AN763" s="130"/>
      <c r="AO763" s="130"/>
      <c r="AP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  <c r="AG764" s="130"/>
      <c r="AH764" s="130"/>
      <c r="AI764" s="130"/>
      <c r="AJ764" s="130"/>
      <c r="AK764" s="130"/>
      <c r="AL764" s="130"/>
      <c r="AM764" s="130"/>
      <c r="AN764" s="130"/>
      <c r="AO764" s="130"/>
      <c r="AP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  <c r="AG765" s="130"/>
      <c r="AH765" s="130"/>
      <c r="AI765" s="130"/>
      <c r="AJ765" s="130"/>
      <c r="AK765" s="130"/>
      <c r="AL765" s="130"/>
      <c r="AM765" s="130"/>
      <c r="AN765" s="130"/>
      <c r="AO765" s="130"/>
      <c r="AP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  <c r="AG766" s="130"/>
      <c r="AH766" s="130"/>
      <c r="AI766" s="130"/>
      <c r="AJ766" s="130"/>
      <c r="AK766" s="130"/>
      <c r="AL766" s="130"/>
      <c r="AM766" s="130"/>
      <c r="AN766" s="130"/>
      <c r="AO766" s="130"/>
      <c r="AP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  <c r="AG767" s="130"/>
      <c r="AH767" s="130"/>
      <c r="AI767" s="130"/>
      <c r="AJ767" s="130"/>
      <c r="AK767" s="130"/>
      <c r="AL767" s="130"/>
      <c r="AM767" s="130"/>
      <c r="AN767" s="130"/>
      <c r="AO767" s="130"/>
      <c r="AP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  <c r="AG768" s="130"/>
      <c r="AH768" s="130"/>
      <c r="AI768" s="130"/>
      <c r="AJ768" s="130"/>
      <c r="AK768" s="130"/>
      <c r="AL768" s="130"/>
      <c r="AM768" s="130"/>
      <c r="AN768" s="130"/>
      <c r="AO768" s="130"/>
      <c r="AP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  <c r="AG769" s="130"/>
      <c r="AH769" s="130"/>
      <c r="AI769" s="130"/>
      <c r="AJ769" s="130"/>
      <c r="AK769" s="130"/>
      <c r="AL769" s="130"/>
      <c r="AM769" s="130"/>
      <c r="AN769" s="130"/>
      <c r="AO769" s="130"/>
      <c r="AP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  <c r="AK770" s="130"/>
      <c r="AL770" s="130"/>
      <c r="AM770" s="130"/>
      <c r="AN770" s="130"/>
      <c r="AO770" s="130"/>
      <c r="AP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  <c r="AG771" s="130"/>
      <c r="AH771" s="130"/>
      <c r="AI771" s="130"/>
      <c r="AJ771" s="130"/>
      <c r="AK771" s="130"/>
      <c r="AL771" s="130"/>
      <c r="AM771" s="130"/>
      <c r="AN771" s="130"/>
      <c r="AO771" s="130"/>
      <c r="AP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  <c r="AG772" s="130"/>
      <c r="AH772" s="130"/>
      <c r="AI772" s="130"/>
      <c r="AJ772" s="130"/>
      <c r="AK772" s="130"/>
      <c r="AL772" s="130"/>
      <c r="AM772" s="130"/>
      <c r="AN772" s="130"/>
      <c r="AO772" s="130"/>
      <c r="AP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  <c r="AG773" s="130"/>
      <c r="AH773" s="130"/>
      <c r="AI773" s="130"/>
      <c r="AJ773" s="130"/>
      <c r="AK773" s="130"/>
      <c r="AL773" s="130"/>
      <c r="AM773" s="130"/>
      <c r="AN773" s="130"/>
      <c r="AO773" s="130"/>
      <c r="AP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  <c r="AG774" s="130"/>
      <c r="AH774" s="130"/>
      <c r="AI774" s="130"/>
      <c r="AJ774" s="130"/>
      <c r="AK774" s="130"/>
      <c r="AL774" s="130"/>
      <c r="AM774" s="130"/>
      <c r="AN774" s="130"/>
      <c r="AO774" s="130"/>
      <c r="AP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  <c r="AG775" s="130"/>
      <c r="AH775" s="130"/>
      <c r="AI775" s="130"/>
      <c r="AJ775" s="130"/>
      <c r="AK775" s="130"/>
      <c r="AL775" s="130"/>
      <c r="AM775" s="130"/>
      <c r="AN775" s="130"/>
      <c r="AO775" s="130"/>
      <c r="AP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  <c r="AG776" s="130"/>
      <c r="AH776" s="130"/>
      <c r="AI776" s="130"/>
      <c r="AJ776" s="130"/>
      <c r="AK776" s="130"/>
      <c r="AL776" s="130"/>
      <c r="AM776" s="130"/>
      <c r="AN776" s="130"/>
      <c r="AO776" s="130"/>
      <c r="AP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  <c r="AG777" s="130"/>
      <c r="AH777" s="130"/>
      <c r="AI777" s="130"/>
      <c r="AJ777" s="130"/>
      <c r="AK777" s="130"/>
      <c r="AL777" s="130"/>
      <c r="AM777" s="130"/>
      <c r="AN777" s="130"/>
      <c r="AO777" s="130"/>
      <c r="AP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  <c r="AG778" s="130"/>
      <c r="AH778" s="130"/>
      <c r="AI778" s="130"/>
      <c r="AJ778" s="130"/>
      <c r="AK778" s="130"/>
      <c r="AL778" s="130"/>
      <c r="AM778" s="130"/>
      <c r="AN778" s="130"/>
      <c r="AO778" s="130"/>
      <c r="AP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  <c r="AG779" s="130"/>
      <c r="AH779" s="130"/>
      <c r="AI779" s="130"/>
      <c r="AJ779" s="130"/>
      <c r="AK779" s="130"/>
      <c r="AL779" s="130"/>
      <c r="AM779" s="130"/>
      <c r="AN779" s="130"/>
      <c r="AO779" s="130"/>
      <c r="AP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  <c r="AG780" s="130"/>
      <c r="AH780" s="130"/>
      <c r="AI780" s="130"/>
      <c r="AJ780" s="130"/>
      <c r="AK780" s="130"/>
      <c r="AL780" s="130"/>
      <c r="AM780" s="130"/>
      <c r="AN780" s="130"/>
      <c r="AO780" s="130"/>
      <c r="AP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  <c r="AG781" s="130"/>
      <c r="AH781" s="130"/>
      <c r="AI781" s="130"/>
      <c r="AJ781" s="130"/>
      <c r="AK781" s="130"/>
      <c r="AL781" s="130"/>
      <c r="AM781" s="130"/>
      <c r="AN781" s="130"/>
      <c r="AO781" s="130"/>
      <c r="AP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  <c r="AG782" s="130"/>
      <c r="AH782" s="130"/>
      <c r="AI782" s="130"/>
      <c r="AJ782" s="130"/>
      <c r="AK782" s="130"/>
      <c r="AL782" s="130"/>
      <c r="AM782" s="130"/>
      <c r="AN782" s="130"/>
      <c r="AO782" s="130"/>
      <c r="AP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  <c r="AG783" s="130"/>
      <c r="AH783" s="130"/>
      <c r="AI783" s="130"/>
      <c r="AJ783" s="130"/>
      <c r="AK783" s="130"/>
      <c r="AL783" s="130"/>
      <c r="AM783" s="130"/>
      <c r="AN783" s="130"/>
      <c r="AO783" s="130"/>
      <c r="AP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  <c r="AK784" s="130"/>
      <c r="AL784" s="130"/>
      <c r="AM784" s="130"/>
      <c r="AN784" s="130"/>
      <c r="AO784" s="130"/>
      <c r="AP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  <c r="AG785" s="130"/>
      <c r="AH785" s="130"/>
      <c r="AI785" s="130"/>
      <c r="AJ785" s="130"/>
      <c r="AK785" s="130"/>
      <c r="AL785" s="130"/>
      <c r="AM785" s="130"/>
      <c r="AN785" s="130"/>
      <c r="AO785" s="130"/>
      <c r="AP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  <c r="AG786" s="130"/>
      <c r="AH786" s="130"/>
      <c r="AI786" s="130"/>
      <c r="AJ786" s="130"/>
      <c r="AK786" s="130"/>
      <c r="AL786" s="130"/>
      <c r="AM786" s="130"/>
      <c r="AN786" s="130"/>
      <c r="AO786" s="130"/>
      <c r="AP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  <c r="AG787" s="130"/>
      <c r="AH787" s="130"/>
      <c r="AI787" s="130"/>
      <c r="AJ787" s="130"/>
      <c r="AK787" s="130"/>
      <c r="AL787" s="130"/>
      <c r="AM787" s="130"/>
      <c r="AN787" s="130"/>
      <c r="AO787" s="130"/>
      <c r="AP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  <c r="AG788" s="130"/>
      <c r="AH788" s="130"/>
      <c r="AI788" s="130"/>
      <c r="AJ788" s="130"/>
      <c r="AK788" s="130"/>
      <c r="AL788" s="130"/>
      <c r="AM788" s="130"/>
      <c r="AN788" s="130"/>
      <c r="AO788" s="130"/>
      <c r="AP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  <c r="AG789" s="130"/>
      <c r="AH789" s="130"/>
      <c r="AI789" s="130"/>
      <c r="AJ789" s="130"/>
      <c r="AK789" s="130"/>
      <c r="AL789" s="130"/>
      <c r="AM789" s="130"/>
      <c r="AN789" s="130"/>
      <c r="AO789" s="130"/>
      <c r="AP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  <c r="AG790" s="130"/>
      <c r="AH790" s="130"/>
      <c r="AI790" s="130"/>
      <c r="AJ790" s="130"/>
      <c r="AK790" s="130"/>
      <c r="AL790" s="130"/>
      <c r="AM790" s="130"/>
      <c r="AN790" s="130"/>
      <c r="AO790" s="130"/>
      <c r="AP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  <c r="AG791" s="130"/>
      <c r="AH791" s="130"/>
      <c r="AI791" s="130"/>
      <c r="AJ791" s="130"/>
      <c r="AK791" s="130"/>
      <c r="AL791" s="130"/>
      <c r="AM791" s="130"/>
      <c r="AN791" s="130"/>
      <c r="AO791" s="130"/>
      <c r="AP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  <c r="AG792" s="130"/>
      <c r="AH792" s="130"/>
      <c r="AI792" s="130"/>
      <c r="AJ792" s="130"/>
      <c r="AK792" s="130"/>
      <c r="AL792" s="130"/>
      <c r="AM792" s="130"/>
      <c r="AN792" s="130"/>
      <c r="AO792" s="130"/>
      <c r="AP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  <c r="AG793" s="130"/>
      <c r="AH793" s="130"/>
      <c r="AI793" s="130"/>
      <c r="AJ793" s="130"/>
      <c r="AK793" s="130"/>
      <c r="AL793" s="130"/>
      <c r="AM793" s="130"/>
      <c r="AN793" s="130"/>
      <c r="AO793" s="130"/>
      <c r="AP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  <c r="AG794" s="130"/>
      <c r="AH794" s="130"/>
      <c r="AI794" s="130"/>
      <c r="AJ794" s="130"/>
      <c r="AK794" s="130"/>
      <c r="AL794" s="130"/>
      <c r="AM794" s="130"/>
      <c r="AN794" s="130"/>
      <c r="AO794" s="130"/>
      <c r="AP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  <c r="AG795" s="130"/>
      <c r="AH795" s="130"/>
      <c r="AI795" s="130"/>
      <c r="AJ795" s="130"/>
      <c r="AK795" s="130"/>
      <c r="AL795" s="130"/>
      <c r="AM795" s="130"/>
      <c r="AN795" s="130"/>
      <c r="AO795" s="130"/>
      <c r="AP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  <c r="AG796" s="130"/>
      <c r="AH796" s="130"/>
      <c r="AI796" s="130"/>
      <c r="AJ796" s="130"/>
      <c r="AK796" s="130"/>
      <c r="AL796" s="130"/>
      <c r="AM796" s="130"/>
      <c r="AN796" s="130"/>
      <c r="AO796" s="130"/>
      <c r="AP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  <c r="AG797" s="130"/>
      <c r="AH797" s="130"/>
      <c r="AI797" s="130"/>
      <c r="AJ797" s="130"/>
      <c r="AK797" s="130"/>
      <c r="AL797" s="130"/>
      <c r="AM797" s="130"/>
      <c r="AN797" s="130"/>
      <c r="AO797" s="130"/>
      <c r="AP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  <c r="AG798" s="130"/>
      <c r="AH798" s="130"/>
      <c r="AI798" s="130"/>
      <c r="AJ798" s="130"/>
      <c r="AK798" s="130"/>
      <c r="AL798" s="130"/>
      <c r="AM798" s="130"/>
      <c r="AN798" s="130"/>
      <c r="AO798" s="130"/>
      <c r="AP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  <c r="AG799" s="130"/>
      <c r="AH799" s="130"/>
      <c r="AI799" s="130"/>
      <c r="AJ799" s="130"/>
      <c r="AK799" s="130"/>
      <c r="AL799" s="130"/>
      <c r="AM799" s="130"/>
      <c r="AN799" s="130"/>
      <c r="AO799" s="130"/>
      <c r="AP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  <c r="AG800" s="130"/>
      <c r="AH800" s="130"/>
      <c r="AI800" s="130"/>
      <c r="AJ800" s="130"/>
      <c r="AK800" s="130"/>
      <c r="AL800" s="130"/>
      <c r="AM800" s="130"/>
      <c r="AN800" s="130"/>
      <c r="AO800" s="130"/>
      <c r="AP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  <c r="AG801" s="130"/>
      <c r="AH801" s="130"/>
      <c r="AI801" s="130"/>
      <c r="AJ801" s="130"/>
      <c r="AK801" s="130"/>
      <c r="AL801" s="130"/>
      <c r="AM801" s="130"/>
      <c r="AN801" s="130"/>
      <c r="AO801" s="130"/>
      <c r="AP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  <c r="AG802" s="130"/>
      <c r="AH802" s="130"/>
      <c r="AI802" s="130"/>
      <c r="AJ802" s="130"/>
      <c r="AK802" s="130"/>
      <c r="AL802" s="130"/>
      <c r="AM802" s="130"/>
      <c r="AN802" s="130"/>
      <c r="AO802" s="130"/>
      <c r="AP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  <c r="AG803" s="130"/>
      <c r="AH803" s="130"/>
      <c r="AI803" s="130"/>
      <c r="AJ803" s="130"/>
      <c r="AK803" s="130"/>
      <c r="AL803" s="130"/>
      <c r="AM803" s="130"/>
      <c r="AN803" s="130"/>
      <c r="AO803" s="130"/>
      <c r="AP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  <c r="AG804" s="130"/>
      <c r="AH804" s="130"/>
      <c r="AI804" s="130"/>
      <c r="AJ804" s="130"/>
      <c r="AK804" s="130"/>
      <c r="AL804" s="130"/>
      <c r="AM804" s="130"/>
      <c r="AN804" s="130"/>
      <c r="AO804" s="130"/>
      <c r="AP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  <c r="AG805" s="130"/>
      <c r="AH805" s="130"/>
      <c r="AI805" s="130"/>
      <c r="AJ805" s="130"/>
      <c r="AK805" s="130"/>
      <c r="AL805" s="130"/>
      <c r="AM805" s="130"/>
      <c r="AN805" s="130"/>
      <c r="AO805" s="130"/>
      <c r="AP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  <c r="AG806" s="130"/>
      <c r="AH806" s="130"/>
      <c r="AI806" s="130"/>
      <c r="AJ806" s="130"/>
      <c r="AK806" s="130"/>
      <c r="AL806" s="130"/>
      <c r="AM806" s="130"/>
      <c r="AN806" s="130"/>
      <c r="AO806" s="130"/>
      <c r="AP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  <c r="AG807" s="130"/>
      <c r="AH807" s="130"/>
      <c r="AI807" s="130"/>
      <c r="AJ807" s="130"/>
      <c r="AK807" s="130"/>
      <c r="AL807" s="130"/>
      <c r="AM807" s="130"/>
      <c r="AN807" s="130"/>
      <c r="AO807" s="130"/>
      <c r="AP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  <c r="AG808" s="130"/>
      <c r="AH808" s="130"/>
      <c r="AI808" s="130"/>
      <c r="AJ808" s="130"/>
      <c r="AK808" s="130"/>
      <c r="AL808" s="130"/>
      <c r="AM808" s="130"/>
      <c r="AN808" s="130"/>
      <c r="AO808" s="130"/>
      <c r="AP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  <c r="AG809" s="130"/>
      <c r="AH809" s="130"/>
      <c r="AI809" s="130"/>
      <c r="AJ809" s="130"/>
      <c r="AK809" s="130"/>
      <c r="AL809" s="130"/>
      <c r="AM809" s="130"/>
      <c r="AN809" s="130"/>
      <c r="AO809" s="130"/>
      <c r="AP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  <c r="AG810" s="130"/>
      <c r="AH810" s="130"/>
      <c r="AI810" s="130"/>
      <c r="AJ810" s="130"/>
      <c r="AK810" s="130"/>
      <c r="AL810" s="130"/>
      <c r="AM810" s="130"/>
      <c r="AN810" s="130"/>
      <c r="AO810" s="130"/>
      <c r="AP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  <c r="AH811" s="130"/>
      <c r="AI811" s="130"/>
      <c r="AJ811" s="130"/>
      <c r="AK811" s="130"/>
      <c r="AL811" s="130"/>
      <c r="AM811" s="130"/>
      <c r="AN811" s="130"/>
      <c r="AO811" s="130"/>
      <c r="AP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  <c r="AG812" s="130"/>
      <c r="AH812" s="130"/>
      <c r="AI812" s="130"/>
      <c r="AJ812" s="130"/>
      <c r="AK812" s="130"/>
      <c r="AL812" s="130"/>
      <c r="AM812" s="130"/>
      <c r="AN812" s="130"/>
      <c r="AO812" s="130"/>
      <c r="AP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  <c r="AG813" s="130"/>
      <c r="AH813" s="130"/>
      <c r="AI813" s="130"/>
      <c r="AJ813" s="130"/>
      <c r="AK813" s="130"/>
      <c r="AL813" s="130"/>
      <c r="AM813" s="130"/>
      <c r="AN813" s="130"/>
      <c r="AO813" s="130"/>
      <c r="AP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  <c r="AG814" s="130"/>
      <c r="AH814" s="130"/>
      <c r="AI814" s="130"/>
      <c r="AJ814" s="130"/>
      <c r="AK814" s="130"/>
      <c r="AL814" s="130"/>
      <c r="AM814" s="130"/>
      <c r="AN814" s="130"/>
      <c r="AO814" s="130"/>
      <c r="AP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  <c r="AG815" s="130"/>
      <c r="AH815" s="130"/>
      <c r="AI815" s="130"/>
      <c r="AJ815" s="130"/>
      <c r="AK815" s="130"/>
      <c r="AL815" s="130"/>
      <c r="AM815" s="130"/>
      <c r="AN815" s="130"/>
      <c r="AO815" s="130"/>
      <c r="AP815" s="130"/>
    </row>
    <row r="816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  <c r="AG816" s="130"/>
      <c r="AH816" s="130"/>
      <c r="AI816" s="130"/>
      <c r="AJ816" s="130"/>
      <c r="AK816" s="130"/>
      <c r="AL816" s="130"/>
      <c r="AM816" s="130"/>
      <c r="AN816" s="130"/>
      <c r="AO816" s="130"/>
      <c r="AP816" s="130"/>
    </row>
    <row r="817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  <c r="AG817" s="130"/>
      <c r="AH817" s="130"/>
      <c r="AI817" s="130"/>
      <c r="AJ817" s="130"/>
      <c r="AK817" s="130"/>
      <c r="AL817" s="130"/>
      <c r="AM817" s="130"/>
      <c r="AN817" s="130"/>
      <c r="AO817" s="130"/>
      <c r="AP817" s="130"/>
    </row>
    <row r="818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  <c r="AG818" s="130"/>
      <c r="AH818" s="130"/>
      <c r="AI818" s="130"/>
      <c r="AJ818" s="130"/>
      <c r="AK818" s="130"/>
      <c r="AL818" s="130"/>
      <c r="AM818" s="130"/>
      <c r="AN818" s="130"/>
      <c r="AO818" s="130"/>
      <c r="AP818" s="130"/>
    </row>
    <row r="819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  <c r="AG819" s="130"/>
      <c r="AH819" s="130"/>
      <c r="AI819" s="130"/>
      <c r="AJ819" s="130"/>
      <c r="AK819" s="130"/>
      <c r="AL819" s="130"/>
      <c r="AM819" s="130"/>
      <c r="AN819" s="130"/>
      <c r="AO819" s="130"/>
      <c r="AP819" s="130"/>
    </row>
    <row r="820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  <c r="AG820" s="130"/>
      <c r="AH820" s="130"/>
      <c r="AI820" s="130"/>
      <c r="AJ820" s="130"/>
      <c r="AK820" s="130"/>
      <c r="AL820" s="130"/>
      <c r="AM820" s="130"/>
      <c r="AN820" s="130"/>
      <c r="AO820" s="130"/>
      <c r="AP820" s="130"/>
    </row>
    <row r="82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  <c r="AG821" s="130"/>
      <c r="AH821" s="130"/>
      <c r="AI821" s="130"/>
      <c r="AJ821" s="130"/>
      <c r="AK821" s="130"/>
      <c r="AL821" s="130"/>
      <c r="AM821" s="130"/>
      <c r="AN821" s="130"/>
      <c r="AO821" s="130"/>
      <c r="AP821" s="130"/>
    </row>
    <row r="822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  <c r="AG822" s="130"/>
      <c r="AH822" s="130"/>
      <c r="AI822" s="130"/>
      <c r="AJ822" s="130"/>
      <c r="AK822" s="130"/>
      <c r="AL822" s="130"/>
      <c r="AM822" s="130"/>
      <c r="AN822" s="130"/>
      <c r="AO822" s="130"/>
      <c r="AP822" s="130"/>
    </row>
    <row r="823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  <c r="AG823" s="130"/>
      <c r="AH823" s="130"/>
      <c r="AI823" s="130"/>
      <c r="AJ823" s="130"/>
      <c r="AK823" s="130"/>
      <c r="AL823" s="130"/>
      <c r="AM823" s="130"/>
      <c r="AN823" s="130"/>
      <c r="AO823" s="130"/>
      <c r="AP823" s="130"/>
    </row>
    <row r="824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  <c r="AG824" s="130"/>
      <c r="AH824" s="130"/>
      <c r="AI824" s="130"/>
      <c r="AJ824" s="130"/>
      <c r="AK824" s="130"/>
      <c r="AL824" s="130"/>
      <c r="AM824" s="130"/>
      <c r="AN824" s="130"/>
      <c r="AO824" s="130"/>
      <c r="AP824" s="130"/>
    </row>
    <row r="8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  <c r="AG825" s="130"/>
      <c r="AH825" s="130"/>
      <c r="AI825" s="130"/>
      <c r="AJ825" s="130"/>
      <c r="AK825" s="130"/>
      <c r="AL825" s="130"/>
      <c r="AM825" s="130"/>
      <c r="AN825" s="130"/>
      <c r="AO825" s="130"/>
      <c r="AP825" s="130"/>
    </row>
    <row r="826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  <c r="AG826" s="130"/>
      <c r="AH826" s="130"/>
      <c r="AI826" s="130"/>
      <c r="AJ826" s="130"/>
      <c r="AK826" s="130"/>
      <c r="AL826" s="130"/>
      <c r="AM826" s="130"/>
      <c r="AN826" s="130"/>
      <c r="AO826" s="130"/>
      <c r="AP826" s="130"/>
    </row>
    <row r="827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  <c r="AG827" s="130"/>
      <c r="AH827" s="130"/>
      <c r="AI827" s="130"/>
      <c r="AJ827" s="130"/>
      <c r="AK827" s="130"/>
      <c r="AL827" s="130"/>
      <c r="AM827" s="130"/>
      <c r="AN827" s="130"/>
      <c r="AO827" s="130"/>
      <c r="AP827" s="130"/>
    </row>
    <row r="828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  <c r="AG828" s="130"/>
      <c r="AH828" s="130"/>
      <c r="AI828" s="130"/>
      <c r="AJ828" s="130"/>
      <c r="AK828" s="130"/>
      <c r="AL828" s="130"/>
      <c r="AM828" s="130"/>
      <c r="AN828" s="130"/>
      <c r="AO828" s="130"/>
      <c r="AP828" s="130"/>
    </row>
    <row r="829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  <c r="AG829" s="130"/>
      <c r="AH829" s="130"/>
      <c r="AI829" s="130"/>
      <c r="AJ829" s="130"/>
      <c r="AK829" s="130"/>
      <c r="AL829" s="130"/>
      <c r="AM829" s="130"/>
      <c r="AN829" s="130"/>
      <c r="AO829" s="130"/>
      <c r="AP829" s="130"/>
    </row>
    <row r="830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  <c r="AG830" s="130"/>
      <c r="AH830" s="130"/>
      <c r="AI830" s="130"/>
      <c r="AJ830" s="130"/>
      <c r="AK830" s="130"/>
      <c r="AL830" s="130"/>
      <c r="AM830" s="130"/>
      <c r="AN830" s="130"/>
      <c r="AO830" s="130"/>
      <c r="AP830" s="130"/>
    </row>
    <row r="83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  <c r="AG831" s="130"/>
      <c r="AH831" s="130"/>
      <c r="AI831" s="130"/>
      <c r="AJ831" s="130"/>
      <c r="AK831" s="130"/>
      <c r="AL831" s="130"/>
      <c r="AM831" s="130"/>
      <c r="AN831" s="130"/>
      <c r="AO831" s="130"/>
      <c r="AP831" s="130"/>
    </row>
    <row r="832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  <c r="AG832" s="130"/>
      <c r="AH832" s="130"/>
      <c r="AI832" s="130"/>
      <c r="AJ832" s="130"/>
      <c r="AK832" s="130"/>
      <c r="AL832" s="130"/>
      <c r="AM832" s="130"/>
      <c r="AN832" s="130"/>
      <c r="AO832" s="130"/>
      <c r="AP832" s="130"/>
    </row>
    <row r="833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  <c r="AG833" s="130"/>
      <c r="AH833" s="130"/>
      <c r="AI833" s="130"/>
      <c r="AJ833" s="130"/>
      <c r="AK833" s="130"/>
      <c r="AL833" s="130"/>
      <c r="AM833" s="130"/>
      <c r="AN833" s="130"/>
      <c r="AO833" s="130"/>
      <c r="AP833" s="130"/>
    </row>
    <row r="834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  <c r="AG834" s="130"/>
      <c r="AH834" s="130"/>
      <c r="AI834" s="130"/>
      <c r="AJ834" s="130"/>
      <c r="AK834" s="130"/>
      <c r="AL834" s="130"/>
      <c r="AM834" s="130"/>
      <c r="AN834" s="130"/>
      <c r="AO834" s="130"/>
      <c r="AP834" s="130"/>
    </row>
    <row r="83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  <c r="AG835" s="130"/>
      <c r="AH835" s="130"/>
      <c r="AI835" s="130"/>
      <c r="AJ835" s="130"/>
      <c r="AK835" s="130"/>
      <c r="AL835" s="130"/>
      <c r="AM835" s="130"/>
      <c r="AN835" s="130"/>
      <c r="AO835" s="130"/>
      <c r="AP835" s="130"/>
    </row>
    <row r="836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  <c r="AG836" s="130"/>
      <c r="AH836" s="130"/>
      <c r="AI836" s="130"/>
      <c r="AJ836" s="130"/>
      <c r="AK836" s="130"/>
      <c r="AL836" s="130"/>
      <c r="AM836" s="130"/>
      <c r="AN836" s="130"/>
      <c r="AO836" s="130"/>
      <c r="AP836" s="130"/>
    </row>
    <row r="837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  <c r="AG837" s="130"/>
      <c r="AH837" s="130"/>
      <c r="AI837" s="130"/>
      <c r="AJ837" s="130"/>
      <c r="AK837" s="130"/>
      <c r="AL837" s="130"/>
      <c r="AM837" s="130"/>
      <c r="AN837" s="130"/>
      <c r="AO837" s="130"/>
      <c r="AP837" s="130"/>
    </row>
    <row r="838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  <c r="AG838" s="130"/>
      <c r="AH838" s="130"/>
      <c r="AI838" s="130"/>
      <c r="AJ838" s="130"/>
      <c r="AK838" s="130"/>
      <c r="AL838" s="130"/>
      <c r="AM838" s="130"/>
      <c r="AN838" s="130"/>
      <c r="AO838" s="130"/>
      <c r="AP838" s="130"/>
    </row>
    <row r="839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  <c r="AG839" s="130"/>
      <c r="AH839" s="130"/>
      <c r="AI839" s="130"/>
      <c r="AJ839" s="130"/>
      <c r="AK839" s="130"/>
      <c r="AL839" s="130"/>
      <c r="AM839" s="130"/>
      <c r="AN839" s="130"/>
      <c r="AO839" s="130"/>
      <c r="AP839" s="130"/>
    </row>
    <row r="840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  <c r="AG840" s="130"/>
      <c r="AH840" s="130"/>
      <c r="AI840" s="130"/>
      <c r="AJ840" s="130"/>
      <c r="AK840" s="130"/>
      <c r="AL840" s="130"/>
      <c r="AM840" s="130"/>
      <c r="AN840" s="130"/>
      <c r="AO840" s="130"/>
      <c r="AP840" s="130"/>
    </row>
    <row r="84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  <c r="AG841" s="130"/>
      <c r="AH841" s="130"/>
      <c r="AI841" s="130"/>
      <c r="AJ841" s="130"/>
      <c r="AK841" s="130"/>
      <c r="AL841" s="130"/>
      <c r="AM841" s="130"/>
      <c r="AN841" s="130"/>
      <c r="AO841" s="130"/>
      <c r="AP841" s="130"/>
    </row>
    <row r="842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  <c r="AG842" s="130"/>
      <c r="AH842" s="130"/>
      <c r="AI842" s="130"/>
      <c r="AJ842" s="130"/>
      <c r="AK842" s="130"/>
      <c r="AL842" s="130"/>
      <c r="AM842" s="130"/>
      <c r="AN842" s="130"/>
      <c r="AO842" s="130"/>
      <c r="AP842" s="130"/>
    </row>
    <row r="843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  <c r="AG843" s="130"/>
      <c r="AH843" s="130"/>
      <c r="AI843" s="130"/>
      <c r="AJ843" s="130"/>
      <c r="AK843" s="130"/>
      <c r="AL843" s="130"/>
      <c r="AM843" s="130"/>
      <c r="AN843" s="130"/>
      <c r="AO843" s="130"/>
      <c r="AP843" s="130"/>
    </row>
    <row r="844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  <c r="AG844" s="130"/>
      <c r="AH844" s="130"/>
      <c r="AI844" s="130"/>
      <c r="AJ844" s="130"/>
      <c r="AK844" s="130"/>
      <c r="AL844" s="130"/>
      <c r="AM844" s="130"/>
      <c r="AN844" s="130"/>
      <c r="AO844" s="130"/>
      <c r="AP844" s="130"/>
    </row>
    <row r="84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  <c r="AG845" s="130"/>
      <c r="AH845" s="130"/>
      <c r="AI845" s="130"/>
      <c r="AJ845" s="130"/>
      <c r="AK845" s="130"/>
      <c r="AL845" s="130"/>
      <c r="AM845" s="130"/>
      <c r="AN845" s="130"/>
      <c r="AO845" s="130"/>
      <c r="AP845" s="130"/>
    </row>
    <row r="846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  <c r="AG846" s="130"/>
      <c r="AH846" s="130"/>
      <c r="AI846" s="130"/>
      <c r="AJ846" s="130"/>
      <c r="AK846" s="130"/>
      <c r="AL846" s="130"/>
      <c r="AM846" s="130"/>
      <c r="AN846" s="130"/>
      <c r="AO846" s="130"/>
      <c r="AP846" s="130"/>
    </row>
    <row r="847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  <c r="AG847" s="130"/>
      <c r="AH847" s="130"/>
      <c r="AI847" s="130"/>
      <c r="AJ847" s="130"/>
      <c r="AK847" s="130"/>
      <c r="AL847" s="130"/>
      <c r="AM847" s="130"/>
      <c r="AN847" s="130"/>
      <c r="AO847" s="130"/>
      <c r="AP847" s="130"/>
    </row>
    <row r="848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  <c r="AG848" s="130"/>
      <c r="AH848" s="130"/>
      <c r="AI848" s="130"/>
      <c r="AJ848" s="130"/>
      <c r="AK848" s="130"/>
      <c r="AL848" s="130"/>
      <c r="AM848" s="130"/>
      <c r="AN848" s="130"/>
      <c r="AO848" s="130"/>
      <c r="AP848" s="130"/>
    </row>
    <row r="849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  <c r="AG849" s="130"/>
      <c r="AH849" s="130"/>
      <c r="AI849" s="130"/>
      <c r="AJ849" s="130"/>
      <c r="AK849" s="130"/>
      <c r="AL849" s="130"/>
      <c r="AM849" s="130"/>
      <c r="AN849" s="130"/>
      <c r="AO849" s="130"/>
      <c r="AP849" s="130"/>
    </row>
    <row r="850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  <c r="AG850" s="130"/>
      <c r="AH850" s="130"/>
      <c r="AI850" s="130"/>
      <c r="AJ850" s="130"/>
      <c r="AK850" s="130"/>
      <c r="AL850" s="130"/>
      <c r="AM850" s="130"/>
      <c r="AN850" s="130"/>
      <c r="AO850" s="130"/>
      <c r="AP850" s="130"/>
    </row>
    <row r="85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  <c r="AG851" s="130"/>
      <c r="AH851" s="130"/>
      <c r="AI851" s="130"/>
      <c r="AJ851" s="130"/>
      <c r="AK851" s="130"/>
      <c r="AL851" s="130"/>
      <c r="AM851" s="130"/>
      <c r="AN851" s="130"/>
      <c r="AO851" s="130"/>
      <c r="AP851" s="130"/>
    </row>
    <row r="852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  <c r="AG852" s="130"/>
      <c r="AH852" s="130"/>
      <c r="AI852" s="130"/>
      <c r="AJ852" s="130"/>
      <c r="AK852" s="130"/>
      <c r="AL852" s="130"/>
      <c r="AM852" s="130"/>
      <c r="AN852" s="130"/>
      <c r="AO852" s="130"/>
      <c r="AP852" s="130"/>
    </row>
    <row r="853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  <c r="AG853" s="130"/>
      <c r="AH853" s="130"/>
      <c r="AI853" s="130"/>
      <c r="AJ853" s="130"/>
      <c r="AK853" s="130"/>
      <c r="AL853" s="130"/>
      <c r="AM853" s="130"/>
      <c r="AN853" s="130"/>
      <c r="AO853" s="130"/>
      <c r="AP853" s="130"/>
    </row>
    <row r="854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  <c r="AG854" s="130"/>
      <c r="AH854" s="130"/>
      <c r="AI854" s="130"/>
      <c r="AJ854" s="130"/>
      <c r="AK854" s="130"/>
      <c r="AL854" s="130"/>
      <c r="AM854" s="130"/>
      <c r="AN854" s="130"/>
      <c r="AO854" s="130"/>
      <c r="AP854" s="130"/>
    </row>
    <row r="85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  <c r="AG855" s="130"/>
      <c r="AH855" s="130"/>
      <c r="AI855" s="130"/>
      <c r="AJ855" s="130"/>
      <c r="AK855" s="130"/>
      <c r="AL855" s="130"/>
      <c r="AM855" s="130"/>
      <c r="AN855" s="130"/>
      <c r="AO855" s="130"/>
      <c r="AP855" s="130"/>
    </row>
    <row r="856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  <c r="AG856" s="130"/>
      <c r="AH856" s="130"/>
      <c r="AI856" s="130"/>
      <c r="AJ856" s="130"/>
      <c r="AK856" s="130"/>
      <c r="AL856" s="130"/>
      <c r="AM856" s="130"/>
      <c r="AN856" s="130"/>
      <c r="AO856" s="130"/>
      <c r="AP856" s="130"/>
    </row>
    <row r="857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  <c r="AG857" s="130"/>
      <c r="AH857" s="130"/>
      <c r="AI857" s="130"/>
      <c r="AJ857" s="130"/>
      <c r="AK857" s="130"/>
      <c r="AL857" s="130"/>
      <c r="AM857" s="130"/>
      <c r="AN857" s="130"/>
      <c r="AO857" s="130"/>
      <c r="AP857" s="130"/>
    </row>
    <row r="858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  <c r="AG858" s="130"/>
      <c r="AH858" s="130"/>
      <c r="AI858" s="130"/>
      <c r="AJ858" s="130"/>
      <c r="AK858" s="130"/>
      <c r="AL858" s="130"/>
      <c r="AM858" s="130"/>
      <c r="AN858" s="130"/>
      <c r="AO858" s="130"/>
      <c r="AP858" s="130"/>
    </row>
    <row r="859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  <c r="AG859" s="130"/>
      <c r="AH859" s="130"/>
      <c r="AI859" s="130"/>
      <c r="AJ859" s="130"/>
      <c r="AK859" s="130"/>
      <c r="AL859" s="130"/>
      <c r="AM859" s="130"/>
      <c r="AN859" s="130"/>
      <c r="AO859" s="130"/>
      <c r="AP859" s="130"/>
    </row>
    <row r="860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  <c r="AG860" s="130"/>
      <c r="AH860" s="130"/>
      <c r="AI860" s="130"/>
      <c r="AJ860" s="130"/>
      <c r="AK860" s="130"/>
      <c r="AL860" s="130"/>
      <c r="AM860" s="130"/>
      <c r="AN860" s="130"/>
      <c r="AO860" s="130"/>
      <c r="AP860" s="130"/>
    </row>
    <row r="86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  <c r="AG861" s="130"/>
      <c r="AH861" s="130"/>
      <c r="AI861" s="130"/>
      <c r="AJ861" s="130"/>
      <c r="AK861" s="130"/>
      <c r="AL861" s="130"/>
      <c r="AM861" s="130"/>
      <c r="AN861" s="130"/>
      <c r="AO861" s="130"/>
      <c r="AP861" s="130"/>
    </row>
    <row r="862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  <c r="AG862" s="130"/>
      <c r="AH862" s="130"/>
      <c r="AI862" s="130"/>
      <c r="AJ862" s="130"/>
      <c r="AK862" s="130"/>
      <c r="AL862" s="130"/>
      <c r="AM862" s="130"/>
      <c r="AN862" s="130"/>
      <c r="AO862" s="130"/>
      <c r="AP862" s="130"/>
    </row>
    <row r="863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  <c r="AG863" s="130"/>
      <c r="AH863" s="130"/>
      <c r="AI863" s="130"/>
      <c r="AJ863" s="130"/>
      <c r="AK863" s="130"/>
      <c r="AL863" s="130"/>
      <c r="AM863" s="130"/>
      <c r="AN863" s="130"/>
      <c r="AO863" s="130"/>
      <c r="AP863" s="130"/>
    </row>
    <row r="864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  <c r="AG864" s="130"/>
      <c r="AH864" s="130"/>
      <c r="AI864" s="130"/>
      <c r="AJ864" s="130"/>
      <c r="AK864" s="130"/>
      <c r="AL864" s="130"/>
      <c r="AM864" s="130"/>
      <c r="AN864" s="130"/>
      <c r="AO864" s="130"/>
      <c r="AP864" s="130"/>
    </row>
    <row r="86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  <c r="AG865" s="130"/>
      <c r="AH865" s="130"/>
      <c r="AI865" s="130"/>
      <c r="AJ865" s="130"/>
      <c r="AK865" s="130"/>
      <c r="AL865" s="130"/>
      <c r="AM865" s="130"/>
      <c r="AN865" s="130"/>
      <c r="AO865" s="130"/>
      <c r="AP865" s="130"/>
    </row>
    <row r="866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  <c r="AG866" s="130"/>
      <c r="AH866" s="130"/>
      <c r="AI866" s="130"/>
      <c r="AJ866" s="130"/>
      <c r="AK866" s="130"/>
      <c r="AL866" s="130"/>
      <c r="AM866" s="130"/>
      <c r="AN866" s="130"/>
      <c r="AO866" s="130"/>
      <c r="AP866" s="130"/>
    </row>
    <row r="867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  <c r="AG867" s="130"/>
      <c r="AH867" s="130"/>
      <c r="AI867" s="130"/>
      <c r="AJ867" s="130"/>
      <c r="AK867" s="130"/>
      <c r="AL867" s="130"/>
      <c r="AM867" s="130"/>
      <c r="AN867" s="130"/>
      <c r="AO867" s="130"/>
      <c r="AP867" s="130"/>
    </row>
    <row r="868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  <c r="AG868" s="130"/>
      <c r="AH868" s="130"/>
      <c r="AI868" s="130"/>
      <c r="AJ868" s="130"/>
      <c r="AK868" s="130"/>
      <c r="AL868" s="130"/>
      <c r="AM868" s="130"/>
      <c r="AN868" s="130"/>
      <c r="AO868" s="130"/>
      <c r="AP868" s="130"/>
    </row>
    <row r="869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  <c r="AG869" s="130"/>
      <c r="AH869" s="130"/>
      <c r="AI869" s="130"/>
      <c r="AJ869" s="130"/>
      <c r="AK869" s="130"/>
      <c r="AL869" s="130"/>
      <c r="AM869" s="130"/>
      <c r="AN869" s="130"/>
      <c r="AO869" s="130"/>
      <c r="AP869" s="130"/>
    </row>
    <row r="870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  <c r="AG870" s="130"/>
      <c r="AH870" s="130"/>
      <c r="AI870" s="130"/>
      <c r="AJ870" s="130"/>
      <c r="AK870" s="130"/>
      <c r="AL870" s="130"/>
      <c r="AM870" s="130"/>
      <c r="AN870" s="130"/>
      <c r="AO870" s="130"/>
      <c r="AP870" s="130"/>
    </row>
    <row r="87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  <c r="AG871" s="130"/>
      <c r="AH871" s="130"/>
      <c r="AI871" s="130"/>
      <c r="AJ871" s="130"/>
      <c r="AK871" s="130"/>
      <c r="AL871" s="130"/>
      <c r="AM871" s="130"/>
      <c r="AN871" s="130"/>
      <c r="AO871" s="130"/>
      <c r="AP871" s="130"/>
    </row>
    <row r="872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  <c r="AG872" s="130"/>
      <c r="AH872" s="130"/>
      <c r="AI872" s="130"/>
      <c r="AJ872" s="130"/>
      <c r="AK872" s="130"/>
      <c r="AL872" s="130"/>
      <c r="AM872" s="130"/>
      <c r="AN872" s="130"/>
      <c r="AO872" s="130"/>
      <c r="AP872" s="130"/>
    </row>
    <row r="873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  <c r="AG873" s="130"/>
      <c r="AH873" s="130"/>
      <c r="AI873" s="130"/>
      <c r="AJ873" s="130"/>
      <c r="AK873" s="130"/>
      <c r="AL873" s="130"/>
      <c r="AM873" s="130"/>
      <c r="AN873" s="130"/>
      <c r="AO873" s="130"/>
      <c r="AP873" s="130"/>
    </row>
    <row r="874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  <c r="AG874" s="130"/>
      <c r="AH874" s="130"/>
      <c r="AI874" s="130"/>
      <c r="AJ874" s="130"/>
      <c r="AK874" s="130"/>
      <c r="AL874" s="130"/>
      <c r="AM874" s="130"/>
      <c r="AN874" s="130"/>
      <c r="AO874" s="130"/>
      <c r="AP874" s="130"/>
    </row>
    <row r="87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  <c r="AG875" s="130"/>
      <c r="AH875" s="130"/>
      <c r="AI875" s="130"/>
      <c r="AJ875" s="130"/>
      <c r="AK875" s="130"/>
      <c r="AL875" s="130"/>
      <c r="AM875" s="130"/>
      <c r="AN875" s="130"/>
      <c r="AO875" s="130"/>
      <c r="AP875" s="130"/>
    </row>
    <row r="876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  <c r="AG876" s="130"/>
      <c r="AH876" s="130"/>
      <c r="AI876" s="130"/>
      <c r="AJ876" s="130"/>
      <c r="AK876" s="130"/>
      <c r="AL876" s="130"/>
      <c r="AM876" s="130"/>
      <c r="AN876" s="130"/>
      <c r="AO876" s="130"/>
      <c r="AP876" s="130"/>
    </row>
    <row r="877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  <c r="AG877" s="130"/>
      <c r="AH877" s="130"/>
      <c r="AI877" s="130"/>
      <c r="AJ877" s="130"/>
      <c r="AK877" s="130"/>
      <c r="AL877" s="130"/>
      <c r="AM877" s="130"/>
      <c r="AN877" s="130"/>
      <c r="AO877" s="130"/>
      <c r="AP877" s="130"/>
    </row>
    <row r="878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  <c r="AG878" s="130"/>
      <c r="AH878" s="130"/>
      <c r="AI878" s="130"/>
      <c r="AJ878" s="130"/>
      <c r="AK878" s="130"/>
      <c r="AL878" s="130"/>
      <c r="AM878" s="130"/>
      <c r="AN878" s="130"/>
      <c r="AO878" s="130"/>
      <c r="AP878" s="130"/>
    </row>
    <row r="879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  <c r="AG879" s="130"/>
      <c r="AH879" s="130"/>
      <c r="AI879" s="130"/>
      <c r="AJ879" s="130"/>
      <c r="AK879" s="130"/>
      <c r="AL879" s="130"/>
      <c r="AM879" s="130"/>
      <c r="AN879" s="130"/>
      <c r="AO879" s="130"/>
      <c r="AP879" s="130"/>
    </row>
    <row r="880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  <c r="AG880" s="130"/>
      <c r="AH880" s="130"/>
      <c r="AI880" s="130"/>
      <c r="AJ880" s="130"/>
      <c r="AK880" s="130"/>
      <c r="AL880" s="130"/>
      <c r="AM880" s="130"/>
      <c r="AN880" s="130"/>
      <c r="AO880" s="130"/>
      <c r="AP880" s="130"/>
    </row>
    <row r="88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  <c r="AG881" s="130"/>
      <c r="AH881" s="130"/>
      <c r="AI881" s="130"/>
      <c r="AJ881" s="130"/>
      <c r="AK881" s="130"/>
      <c r="AL881" s="130"/>
      <c r="AM881" s="130"/>
      <c r="AN881" s="130"/>
      <c r="AO881" s="130"/>
      <c r="AP881" s="130"/>
    </row>
    <row r="882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  <c r="AG882" s="130"/>
      <c r="AH882" s="130"/>
      <c r="AI882" s="130"/>
      <c r="AJ882" s="130"/>
      <c r="AK882" s="130"/>
      <c r="AL882" s="130"/>
      <c r="AM882" s="130"/>
      <c r="AN882" s="130"/>
      <c r="AO882" s="130"/>
      <c r="AP882" s="130"/>
    </row>
    <row r="883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  <c r="AG883" s="130"/>
      <c r="AH883" s="130"/>
      <c r="AI883" s="130"/>
      <c r="AJ883" s="130"/>
      <c r="AK883" s="130"/>
      <c r="AL883" s="130"/>
      <c r="AM883" s="130"/>
      <c r="AN883" s="130"/>
      <c r="AO883" s="130"/>
      <c r="AP883" s="130"/>
    </row>
    <row r="884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  <c r="AG884" s="130"/>
      <c r="AH884" s="130"/>
      <c r="AI884" s="130"/>
      <c r="AJ884" s="130"/>
      <c r="AK884" s="130"/>
      <c r="AL884" s="130"/>
      <c r="AM884" s="130"/>
      <c r="AN884" s="130"/>
      <c r="AO884" s="130"/>
      <c r="AP884" s="130"/>
    </row>
    <row r="88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  <c r="AG885" s="130"/>
      <c r="AH885" s="130"/>
      <c r="AI885" s="130"/>
      <c r="AJ885" s="130"/>
      <c r="AK885" s="130"/>
      <c r="AL885" s="130"/>
      <c r="AM885" s="130"/>
      <c r="AN885" s="130"/>
      <c r="AO885" s="130"/>
      <c r="AP885" s="130"/>
    </row>
    <row r="886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  <c r="AG886" s="130"/>
      <c r="AH886" s="130"/>
      <c r="AI886" s="130"/>
      <c r="AJ886" s="130"/>
      <c r="AK886" s="130"/>
      <c r="AL886" s="130"/>
      <c r="AM886" s="130"/>
      <c r="AN886" s="130"/>
      <c r="AO886" s="130"/>
      <c r="AP886" s="130"/>
    </row>
    <row r="887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  <c r="AG887" s="130"/>
      <c r="AH887" s="130"/>
      <c r="AI887" s="130"/>
      <c r="AJ887" s="130"/>
      <c r="AK887" s="130"/>
      <c r="AL887" s="130"/>
      <c r="AM887" s="130"/>
      <c r="AN887" s="130"/>
      <c r="AO887" s="130"/>
      <c r="AP887" s="130"/>
    </row>
    <row r="888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  <c r="AG888" s="130"/>
      <c r="AH888" s="130"/>
      <c r="AI888" s="130"/>
      <c r="AJ888" s="130"/>
      <c r="AK888" s="130"/>
      <c r="AL888" s="130"/>
      <c r="AM888" s="130"/>
      <c r="AN888" s="130"/>
      <c r="AO888" s="130"/>
      <c r="AP888" s="130"/>
    </row>
    <row r="889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  <c r="AG889" s="130"/>
      <c r="AH889" s="130"/>
      <c r="AI889" s="130"/>
      <c r="AJ889" s="130"/>
      <c r="AK889" s="130"/>
      <c r="AL889" s="130"/>
      <c r="AM889" s="130"/>
      <c r="AN889" s="130"/>
      <c r="AO889" s="130"/>
      <c r="AP889" s="130"/>
    </row>
    <row r="890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  <c r="AG890" s="130"/>
      <c r="AH890" s="130"/>
      <c r="AI890" s="130"/>
      <c r="AJ890" s="130"/>
      <c r="AK890" s="130"/>
      <c r="AL890" s="130"/>
      <c r="AM890" s="130"/>
      <c r="AN890" s="130"/>
      <c r="AO890" s="130"/>
      <c r="AP890" s="130"/>
    </row>
    <row r="89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  <c r="AG891" s="130"/>
      <c r="AH891" s="130"/>
      <c r="AI891" s="130"/>
      <c r="AJ891" s="130"/>
      <c r="AK891" s="130"/>
      <c r="AL891" s="130"/>
      <c r="AM891" s="130"/>
      <c r="AN891" s="130"/>
      <c r="AO891" s="130"/>
      <c r="AP891" s="130"/>
    </row>
    <row r="892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  <c r="AG892" s="130"/>
      <c r="AH892" s="130"/>
      <c r="AI892" s="130"/>
      <c r="AJ892" s="130"/>
      <c r="AK892" s="130"/>
      <c r="AL892" s="130"/>
      <c r="AM892" s="130"/>
      <c r="AN892" s="130"/>
      <c r="AO892" s="130"/>
      <c r="AP892" s="130"/>
    </row>
    <row r="893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  <c r="AG893" s="130"/>
      <c r="AH893" s="130"/>
      <c r="AI893" s="130"/>
      <c r="AJ893" s="130"/>
      <c r="AK893" s="130"/>
      <c r="AL893" s="130"/>
      <c r="AM893" s="130"/>
      <c r="AN893" s="130"/>
      <c r="AO893" s="130"/>
      <c r="AP893" s="130"/>
    </row>
    <row r="894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  <c r="AG894" s="130"/>
      <c r="AH894" s="130"/>
      <c r="AI894" s="130"/>
      <c r="AJ894" s="130"/>
      <c r="AK894" s="130"/>
      <c r="AL894" s="130"/>
      <c r="AM894" s="130"/>
      <c r="AN894" s="130"/>
      <c r="AO894" s="130"/>
      <c r="AP894" s="130"/>
    </row>
    <row r="89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  <c r="AG895" s="130"/>
      <c r="AH895" s="130"/>
      <c r="AI895" s="130"/>
      <c r="AJ895" s="130"/>
      <c r="AK895" s="130"/>
      <c r="AL895" s="130"/>
      <c r="AM895" s="130"/>
      <c r="AN895" s="130"/>
      <c r="AO895" s="130"/>
      <c r="AP895" s="130"/>
    </row>
    <row r="896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  <c r="AG896" s="130"/>
      <c r="AH896" s="130"/>
      <c r="AI896" s="130"/>
      <c r="AJ896" s="130"/>
      <c r="AK896" s="130"/>
      <c r="AL896" s="130"/>
      <c r="AM896" s="130"/>
      <c r="AN896" s="130"/>
      <c r="AO896" s="130"/>
      <c r="AP896" s="130"/>
    </row>
    <row r="897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  <c r="AG897" s="130"/>
      <c r="AH897" s="130"/>
      <c r="AI897" s="130"/>
      <c r="AJ897" s="130"/>
      <c r="AK897" s="130"/>
      <c r="AL897" s="130"/>
      <c r="AM897" s="130"/>
      <c r="AN897" s="130"/>
      <c r="AO897" s="130"/>
      <c r="AP897" s="130"/>
    </row>
    <row r="898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  <c r="AG898" s="130"/>
      <c r="AH898" s="130"/>
      <c r="AI898" s="130"/>
      <c r="AJ898" s="130"/>
      <c r="AK898" s="130"/>
      <c r="AL898" s="130"/>
      <c r="AM898" s="130"/>
      <c r="AN898" s="130"/>
      <c r="AO898" s="130"/>
      <c r="AP898" s="130"/>
    </row>
    <row r="899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  <c r="AG899" s="130"/>
      <c r="AH899" s="130"/>
      <c r="AI899" s="130"/>
      <c r="AJ899" s="130"/>
      <c r="AK899" s="130"/>
      <c r="AL899" s="130"/>
      <c r="AM899" s="130"/>
      <c r="AN899" s="130"/>
      <c r="AO899" s="130"/>
      <c r="AP899" s="130"/>
    </row>
    <row r="900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  <c r="AG900" s="130"/>
      <c r="AH900" s="130"/>
      <c r="AI900" s="130"/>
      <c r="AJ900" s="130"/>
      <c r="AK900" s="130"/>
      <c r="AL900" s="130"/>
      <c r="AM900" s="130"/>
      <c r="AN900" s="130"/>
      <c r="AO900" s="130"/>
      <c r="AP900" s="130"/>
    </row>
    <row r="90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  <c r="AG901" s="130"/>
      <c r="AH901" s="130"/>
      <c r="AI901" s="130"/>
      <c r="AJ901" s="130"/>
      <c r="AK901" s="130"/>
      <c r="AL901" s="130"/>
      <c r="AM901" s="130"/>
      <c r="AN901" s="130"/>
      <c r="AO901" s="130"/>
      <c r="AP901" s="130"/>
    </row>
    <row r="902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  <c r="AG902" s="130"/>
      <c r="AH902" s="130"/>
      <c r="AI902" s="130"/>
      <c r="AJ902" s="130"/>
      <c r="AK902" s="130"/>
      <c r="AL902" s="130"/>
      <c r="AM902" s="130"/>
      <c r="AN902" s="130"/>
      <c r="AO902" s="130"/>
      <c r="AP902" s="130"/>
    </row>
    <row r="903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  <c r="AG903" s="130"/>
      <c r="AH903" s="130"/>
      <c r="AI903" s="130"/>
      <c r="AJ903" s="130"/>
      <c r="AK903" s="130"/>
      <c r="AL903" s="130"/>
      <c r="AM903" s="130"/>
      <c r="AN903" s="130"/>
      <c r="AO903" s="130"/>
      <c r="AP903" s="130"/>
    </row>
    <row r="904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  <c r="AG904" s="130"/>
      <c r="AH904" s="130"/>
      <c r="AI904" s="130"/>
      <c r="AJ904" s="130"/>
      <c r="AK904" s="130"/>
      <c r="AL904" s="130"/>
      <c r="AM904" s="130"/>
      <c r="AN904" s="130"/>
      <c r="AO904" s="130"/>
      <c r="AP904" s="130"/>
    </row>
    <row r="90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  <c r="AG905" s="130"/>
      <c r="AH905" s="130"/>
      <c r="AI905" s="130"/>
      <c r="AJ905" s="130"/>
      <c r="AK905" s="130"/>
      <c r="AL905" s="130"/>
      <c r="AM905" s="130"/>
      <c r="AN905" s="130"/>
      <c r="AO905" s="130"/>
      <c r="AP905" s="130"/>
    </row>
    <row r="906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  <c r="AG906" s="130"/>
      <c r="AH906" s="130"/>
      <c r="AI906" s="130"/>
      <c r="AJ906" s="130"/>
      <c r="AK906" s="130"/>
      <c r="AL906" s="130"/>
      <c r="AM906" s="130"/>
      <c r="AN906" s="130"/>
      <c r="AO906" s="130"/>
      <c r="AP906" s="130"/>
    </row>
    <row r="907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  <c r="AG907" s="130"/>
      <c r="AH907" s="130"/>
      <c r="AI907" s="130"/>
      <c r="AJ907" s="130"/>
      <c r="AK907" s="130"/>
      <c r="AL907" s="130"/>
      <c r="AM907" s="130"/>
      <c r="AN907" s="130"/>
      <c r="AO907" s="130"/>
      <c r="AP907" s="130"/>
    </row>
    <row r="908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  <c r="AG908" s="130"/>
      <c r="AH908" s="130"/>
      <c r="AI908" s="130"/>
      <c r="AJ908" s="130"/>
      <c r="AK908" s="130"/>
      <c r="AL908" s="130"/>
      <c r="AM908" s="130"/>
      <c r="AN908" s="130"/>
      <c r="AO908" s="130"/>
      <c r="AP908" s="130"/>
    </row>
    <row r="909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  <c r="AG909" s="130"/>
      <c r="AH909" s="130"/>
      <c r="AI909" s="130"/>
      <c r="AJ909" s="130"/>
      <c r="AK909" s="130"/>
      <c r="AL909" s="130"/>
      <c r="AM909" s="130"/>
      <c r="AN909" s="130"/>
      <c r="AO909" s="130"/>
      <c r="AP909" s="130"/>
    </row>
    <row r="910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  <c r="AG910" s="130"/>
      <c r="AH910" s="130"/>
      <c r="AI910" s="130"/>
      <c r="AJ910" s="130"/>
      <c r="AK910" s="130"/>
      <c r="AL910" s="130"/>
      <c r="AM910" s="130"/>
      <c r="AN910" s="130"/>
      <c r="AO910" s="130"/>
      <c r="AP910" s="130"/>
    </row>
    <row r="91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  <c r="AG911" s="130"/>
      <c r="AH911" s="130"/>
      <c r="AI911" s="130"/>
      <c r="AJ911" s="130"/>
      <c r="AK911" s="130"/>
      <c r="AL911" s="130"/>
      <c r="AM911" s="130"/>
      <c r="AN911" s="130"/>
      <c r="AO911" s="130"/>
      <c r="AP911" s="130"/>
    </row>
    <row r="912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  <c r="AG912" s="130"/>
      <c r="AH912" s="130"/>
      <c r="AI912" s="130"/>
      <c r="AJ912" s="130"/>
      <c r="AK912" s="130"/>
      <c r="AL912" s="130"/>
      <c r="AM912" s="130"/>
      <c r="AN912" s="130"/>
      <c r="AO912" s="130"/>
      <c r="AP912" s="130"/>
    </row>
    <row r="913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  <c r="AG913" s="130"/>
      <c r="AH913" s="130"/>
      <c r="AI913" s="130"/>
      <c r="AJ913" s="130"/>
      <c r="AK913" s="130"/>
      <c r="AL913" s="130"/>
      <c r="AM913" s="130"/>
      <c r="AN913" s="130"/>
      <c r="AO913" s="130"/>
      <c r="AP913" s="130"/>
    </row>
    <row r="914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  <c r="AG914" s="130"/>
      <c r="AH914" s="130"/>
      <c r="AI914" s="130"/>
      <c r="AJ914" s="130"/>
      <c r="AK914" s="130"/>
      <c r="AL914" s="130"/>
      <c r="AM914" s="130"/>
      <c r="AN914" s="130"/>
      <c r="AO914" s="130"/>
      <c r="AP914" s="130"/>
    </row>
    <row r="9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  <c r="AG915" s="130"/>
      <c r="AH915" s="130"/>
      <c r="AI915" s="130"/>
      <c r="AJ915" s="130"/>
      <c r="AK915" s="130"/>
      <c r="AL915" s="130"/>
      <c r="AM915" s="130"/>
      <c r="AN915" s="130"/>
      <c r="AO915" s="130"/>
      <c r="AP915" s="130"/>
    </row>
    <row r="916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  <c r="AG916" s="130"/>
      <c r="AH916" s="130"/>
      <c r="AI916" s="130"/>
      <c r="AJ916" s="130"/>
      <c r="AK916" s="130"/>
      <c r="AL916" s="130"/>
      <c r="AM916" s="130"/>
      <c r="AN916" s="130"/>
      <c r="AO916" s="130"/>
      <c r="AP916" s="130"/>
    </row>
    <row r="917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  <c r="AG917" s="130"/>
      <c r="AH917" s="130"/>
      <c r="AI917" s="130"/>
      <c r="AJ917" s="130"/>
      <c r="AK917" s="130"/>
      <c r="AL917" s="130"/>
      <c r="AM917" s="130"/>
      <c r="AN917" s="130"/>
      <c r="AO917" s="130"/>
      <c r="AP917" s="130"/>
    </row>
    <row r="918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  <c r="AG918" s="130"/>
      <c r="AH918" s="130"/>
      <c r="AI918" s="130"/>
      <c r="AJ918" s="130"/>
      <c r="AK918" s="130"/>
      <c r="AL918" s="130"/>
      <c r="AM918" s="130"/>
      <c r="AN918" s="130"/>
      <c r="AO918" s="130"/>
      <c r="AP918" s="130"/>
    </row>
    <row r="919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  <c r="AG919" s="130"/>
      <c r="AH919" s="130"/>
      <c r="AI919" s="130"/>
      <c r="AJ919" s="130"/>
      <c r="AK919" s="130"/>
      <c r="AL919" s="130"/>
      <c r="AM919" s="130"/>
      <c r="AN919" s="130"/>
      <c r="AO919" s="130"/>
      <c r="AP919" s="130"/>
    </row>
    <row r="920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  <c r="AG920" s="130"/>
      <c r="AH920" s="130"/>
      <c r="AI920" s="130"/>
      <c r="AJ920" s="130"/>
      <c r="AK920" s="130"/>
      <c r="AL920" s="130"/>
      <c r="AM920" s="130"/>
      <c r="AN920" s="130"/>
      <c r="AO920" s="130"/>
      <c r="AP920" s="130"/>
    </row>
    <row r="92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  <c r="AG921" s="130"/>
      <c r="AH921" s="130"/>
      <c r="AI921" s="130"/>
      <c r="AJ921" s="130"/>
      <c r="AK921" s="130"/>
      <c r="AL921" s="130"/>
      <c r="AM921" s="130"/>
      <c r="AN921" s="130"/>
      <c r="AO921" s="130"/>
      <c r="AP921" s="130"/>
    </row>
    <row r="922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  <c r="AG922" s="130"/>
      <c r="AH922" s="130"/>
      <c r="AI922" s="130"/>
      <c r="AJ922" s="130"/>
      <c r="AK922" s="130"/>
      <c r="AL922" s="130"/>
      <c r="AM922" s="130"/>
      <c r="AN922" s="130"/>
      <c r="AO922" s="130"/>
      <c r="AP922" s="130"/>
    </row>
    <row r="923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  <c r="AG923" s="130"/>
      <c r="AH923" s="130"/>
      <c r="AI923" s="130"/>
      <c r="AJ923" s="130"/>
      <c r="AK923" s="130"/>
      <c r="AL923" s="130"/>
      <c r="AM923" s="130"/>
      <c r="AN923" s="130"/>
      <c r="AO923" s="130"/>
      <c r="AP923" s="130"/>
    </row>
    <row r="924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  <c r="AG924" s="130"/>
      <c r="AH924" s="130"/>
      <c r="AI924" s="130"/>
      <c r="AJ924" s="130"/>
      <c r="AK924" s="130"/>
      <c r="AL924" s="130"/>
      <c r="AM924" s="130"/>
      <c r="AN924" s="130"/>
      <c r="AO924" s="130"/>
      <c r="AP924" s="130"/>
    </row>
    <row r="9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  <c r="AG925" s="130"/>
      <c r="AH925" s="130"/>
      <c r="AI925" s="130"/>
      <c r="AJ925" s="130"/>
      <c r="AK925" s="130"/>
      <c r="AL925" s="130"/>
      <c r="AM925" s="130"/>
      <c r="AN925" s="130"/>
      <c r="AO925" s="130"/>
      <c r="AP925" s="130"/>
    </row>
    <row r="926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  <c r="AG926" s="130"/>
      <c r="AH926" s="130"/>
      <c r="AI926" s="130"/>
      <c r="AJ926" s="130"/>
      <c r="AK926" s="130"/>
      <c r="AL926" s="130"/>
      <c r="AM926" s="130"/>
      <c r="AN926" s="130"/>
      <c r="AO926" s="130"/>
      <c r="AP926" s="130"/>
    </row>
    <row r="927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  <c r="AG927" s="130"/>
      <c r="AH927" s="130"/>
      <c r="AI927" s="130"/>
      <c r="AJ927" s="130"/>
      <c r="AK927" s="130"/>
      <c r="AL927" s="130"/>
      <c r="AM927" s="130"/>
      <c r="AN927" s="130"/>
      <c r="AO927" s="130"/>
      <c r="AP927" s="130"/>
    </row>
    <row r="928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  <c r="AG928" s="130"/>
      <c r="AH928" s="130"/>
      <c r="AI928" s="130"/>
      <c r="AJ928" s="130"/>
      <c r="AK928" s="130"/>
      <c r="AL928" s="130"/>
      <c r="AM928" s="130"/>
      <c r="AN928" s="130"/>
      <c r="AO928" s="130"/>
      <c r="AP928" s="130"/>
    </row>
    <row r="929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  <c r="AG929" s="130"/>
      <c r="AH929" s="130"/>
      <c r="AI929" s="130"/>
      <c r="AJ929" s="130"/>
      <c r="AK929" s="130"/>
      <c r="AL929" s="130"/>
      <c r="AM929" s="130"/>
      <c r="AN929" s="130"/>
      <c r="AO929" s="130"/>
      <c r="AP929" s="130"/>
    </row>
    <row r="930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  <c r="AG930" s="130"/>
      <c r="AH930" s="130"/>
      <c r="AI930" s="130"/>
      <c r="AJ930" s="130"/>
      <c r="AK930" s="130"/>
      <c r="AL930" s="130"/>
      <c r="AM930" s="130"/>
      <c r="AN930" s="130"/>
      <c r="AO930" s="130"/>
      <c r="AP930" s="130"/>
    </row>
    <row r="93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  <c r="AG931" s="130"/>
      <c r="AH931" s="130"/>
      <c r="AI931" s="130"/>
      <c r="AJ931" s="130"/>
      <c r="AK931" s="130"/>
      <c r="AL931" s="130"/>
      <c r="AM931" s="130"/>
      <c r="AN931" s="130"/>
      <c r="AO931" s="130"/>
      <c r="AP931" s="130"/>
    </row>
    <row r="932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  <c r="AG932" s="130"/>
      <c r="AH932" s="130"/>
      <c r="AI932" s="130"/>
      <c r="AJ932" s="130"/>
      <c r="AK932" s="130"/>
      <c r="AL932" s="130"/>
      <c r="AM932" s="130"/>
      <c r="AN932" s="130"/>
      <c r="AO932" s="130"/>
      <c r="AP932" s="130"/>
    </row>
    <row r="933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  <c r="AG933" s="130"/>
      <c r="AH933" s="130"/>
      <c r="AI933" s="130"/>
      <c r="AJ933" s="130"/>
      <c r="AK933" s="130"/>
      <c r="AL933" s="130"/>
      <c r="AM933" s="130"/>
      <c r="AN933" s="130"/>
      <c r="AO933" s="130"/>
      <c r="AP933" s="130"/>
    </row>
    <row r="934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  <c r="AG934" s="130"/>
      <c r="AH934" s="130"/>
      <c r="AI934" s="130"/>
      <c r="AJ934" s="130"/>
      <c r="AK934" s="130"/>
      <c r="AL934" s="130"/>
      <c r="AM934" s="130"/>
      <c r="AN934" s="130"/>
      <c r="AO934" s="130"/>
      <c r="AP934" s="130"/>
    </row>
    <row r="93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  <c r="AG935" s="130"/>
      <c r="AH935" s="130"/>
      <c r="AI935" s="130"/>
      <c r="AJ935" s="130"/>
      <c r="AK935" s="130"/>
      <c r="AL935" s="130"/>
      <c r="AM935" s="130"/>
      <c r="AN935" s="130"/>
      <c r="AO935" s="130"/>
      <c r="AP935" s="130"/>
    </row>
    <row r="936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  <c r="AG936" s="130"/>
      <c r="AH936" s="130"/>
      <c r="AI936" s="130"/>
      <c r="AJ936" s="130"/>
      <c r="AK936" s="130"/>
      <c r="AL936" s="130"/>
      <c r="AM936" s="130"/>
      <c r="AN936" s="130"/>
      <c r="AO936" s="130"/>
      <c r="AP936" s="130"/>
    </row>
    <row r="937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  <c r="AG937" s="130"/>
      <c r="AH937" s="130"/>
      <c r="AI937" s="130"/>
      <c r="AJ937" s="130"/>
      <c r="AK937" s="130"/>
      <c r="AL937" s="130"/>
      <c r="AM937" s="130"/>
      <c r="AN937" s="130"/>
      <c r="AO937" s="130"/>
      <c r="AP937" s="130"/>
    </row>
    <row r="938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  <c r="AG938" s="130"/>
      <c r="AH938" s="130"/>
      <c r="AI938" s="130"/>
      <c r="AJ938" s="130"/>
      <c r="AK938" s="130"/>
      <c r="AL938" s="130"/>
      <c r="AM938" s="130"/>
      <c r="AN938" s="130"/>
      <c r="AO938" s="130"/>
      <c r="AP938" s="130"/>
    </row>
    <row r="939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  <c r="AG939" s="130"/>
      <c r="AH939" s="130"/>
      <c r="AI939" s="130"/>
      <c r="AJ939" s="130"/>
      <c r="AK939" s="130"/>
      <c r="AL939" s="130"/>
      <c r="AM939" s="130"/>
      <c r="AN939" s="130"/>
      <c r="AO939" s="130"/>
      <c r="AP939" s="130"/>
    </row>
    <row r="940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  <c r="AG940" s="130"/>
      <c r="AH940" s="130"/>
      <c r="AI940" s="130"/>
      <c r="AJ940" s="130"/>
      <c r="AK940" s="130"/>
      <c r="AL940" s="130"/>
      <c r="AM940" s="130"/>
      <c r="AN940" s="130"/>
      <c r="AO940" s="130"/>
      <c r="AP940" s="130"/>
    </row>
    <row r="941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  <c r="AG941" s="130"/>
      <c r="AH941" s="130"/>
      <c r="AI941" s="130"/>
      <c r="AJ941" s="130"/>
      <c r="AK941" s="130"/>
      <c r="AL941" s="130"/>
      <c r="AM941" s="130"/>
      <c r="AN941" s="130"/>
      <c r="AO941" s="130"/>
      <c r="AP941" s="130"/>
    </row>
    <row r="942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  <c r="AG942" s="130"/>
      <c r="AH942" s="130"/>
      <c r="AI942" s="130"/>
      <c r="AJ942" s="130"/>
      <c r="AK942" s="130"/>
      <c r="AL942" s="130"/>
      <c r="AM942" s="130"/>
      <c r="AN942" s="130"/>
      <c r="AO942" s="130"/>
      <c r="AP942" s="130"/>
    </row>
    <row r="943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  <c r="AG943" s="130"/>
      <c r="AH943" s="130"/>
      <c r="AI943" s="130"/>
      <c r="AJ943" s="130"/>
      <c r="AK943" s="130"/>
      <c r="AL943" s="130"/>
      <c r="AM943" s="130"/>
      <c r="AN943" s="130"/>
      <c r="AO943" s="130"/>
      <c r="AP943" s="130"/>
    </row>
    <row r="944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  <c r="AG944" s="130"/>
      <c r="AH944" s="130"/>
      <c r="AI944" s="130"/>
      <c r="AJ944" s="130"/>
      <c r="AK944" s="130"/>
      <c r="AL944" s="130"/>
      <c r="AM944" s="130"/>
      <c r="AN944" s="130"/>
      <c r="AO944" s="130"/>
      <c r="AP944" s="130"/>
    </row>
    <row r="945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  <c r="AG945" s="130"/>
      <c r="AH945" s="130"/>
      <c r="AI945" s="130"/>
      <c r="AJ945" s="130"/>
      <c r="AK945" s="130"/>
      <c r="AL945" s="130"/>
      <c r="AM945" s="130"/>
      <c r="AN945" s="130"/>
      <c r="AO945" s="130"/>
      <c r="AP945" s="130"/>
    </row>
    <row r="946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  <c r="AG946" s="130"/>
      <c r="AH946" s="130"/>
      <c r="AI946" s="130"/>
      <c r="AJ946" s="130"/>
      <c r="AK946" s="130"/>
      <c r="AL946" s="130"/>
      <c r="AM946" s="130"/>
      <c r="AN946" s="130"/>
      <c r="AO946" s="130"/>
      <c r="AP946" s="130"/>
    </row>
    <row r="947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  <c r="AG947" s="130"/>
      <c r="AH947" s="130"/>
      <c r="AI947" s="130"/>
      <c r="AJ947" s="130"/>
      <c r="AK947" s="130"/>
      <c r="AL947" s="130"/>
      <c r="AM947" s="130"/>
      <c r="AN947" s="130"/>
      <c r="AO947" s="130"/>
      <c r="AP947" s="130"/>
    </row>
    <row r="948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  <c r="AG948" s="130"/>
      <c r="AH948" s="130"/>
      <c r="AI948" s="130"/>
      <c r="AJ948" s="130"/>
      <c r="AK948" s="130"/>
      <c r="AL948" s="130"/>
      <c r="AM948" s="130"/>
      <c r="AN948" s="130"/>
      <c r="AO948" s="130"/>
      <c r="AP948" s="130"/>
    </row>
    <row r="949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  <c r="AG949" s="130"/>
      <c r="AH949" s="130"/>
      <c r="AI949" s="130"/>
      <c r="AJ949" s="130"/>
      <c r="AK949" s="130"/>
      <c r="AL949" s="130"/>
      <c r="AM949" s="130"/>
      <c r="AN949" s="130"/>
      <c r="AO949" s="130"/>
      <c r="AP949" s="130"/>
    </row>
    <row r="950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  <c r="AG950" s="130"/>
      <c r="AH950" s="130"/>
      <c r="AI950" s="130"/>
      <c r="AJ950" s="130"/>
      <c r="AK950" s="130"/>
      <c r="AL950" s="130"/>
      <c r="AM950" s="130"/>
      <c r="AN950" s="130"/>
      <c r="AO950" s="130"/>
      <c r="AP950" s="130"/>
    </row>
    <row r="951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  <c r="AG951" s="130"/>
      <c r="AH951" s="130"/>
      <c r="AI951" s="130"/>
      <c r="AJ951" s="130"/>
      <c r="AK951" s="130"/>
      <c r="AL951" s="130"/>
      <c r="AM951" s="130"/>
      <c r="AN951" s="130"/>
      <c r="AO951" s="130"/>
      <c r="AP951" s="130"/>
    </row>
    <row r="952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  <c r="AG952" s="130"/>
      <c r="AH952" s="130"/>
      <c r="AI952" s="130"/>
      <c r="AJ952" s="130"/>
      <c r="AK952" s="130"/>
      <c r="AL952" s="130"/>
      <c r="AM952" s="130"/>
      <c r="AN952" s="130"/>
      <c r="AO952" s="130"/>
      <c r="AP952" s="130"/>
    </row>
    <row r="953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  <c r="AG953" s="130"/>
      <c r="AH953" s="130"/>
      <c r="AI953" s="130"/>
      <c r="AJ953" s="130"/>
      <c r="AK953" s="130"/>
      <c r="AL953" s="130"/>
      <c r="AM953" s="130"/>
      <c r="AN953" s="130"/>
      <c r="AO953" s="130"/>
      <c r="AP953" s="130"/>
    </row>
    <row r="954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  <c r="AG954" s="130"/>
      <c r="AH954" s="130"/>
      <c r="AI954" s="130"/>
      <c r="AJ954" s="130"/>
      <c r="AK954" s="130"/>
      <c r="AL954" s="130"/>
      <c r="AM954" s="130"/>
      <c r="AN954" s="130"/>
      <c r="AO954" s="130"/>
      <c r="AP954" s="130"/>
    </row>
    <row r="955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  <c r="AG955" s="130"/>
      <c r="AH955" s="130"/>
      <c r="AI955" s="130"/>
      <c r="AJ955" s="130"/>
      <c r="AK955" s="130"/>
      <c r="AL955" s="130"/>
      <c r="AM955" s="130"/>
      <c r="AN955" s="130"/>
      <c r="AO955" s="130"/>
      <c r="AP955" s="130"/>
    </row>
  </sheetData>
  <autoFilter ref="$B$6:$AD$2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4" max="5" width="14.0"/>
    <col customWidth="1" min="6" max="7" width="14.13"/>
    <col customWidth="1" min="8" max="8" width="14.38"/>
  </cols>
  <sheetData>
    <row r="1">
      <c r="A1" s="217"/>
      <c r="B1" s="217"/>
      <c r="C1" s="217"/>
      <c r="D1" s="217"/>
      <c r="E1" s="217"/>
      <c r="F1" s="217"/>
      <c r="G1" s="217"/>
      <c r="H1" s="217"/>
    </row>
    <row r="2">
      <c r="A2" s="218" t="s">
        <v>181</v>
      </c>
      <c r="B2" s="218" t="s">
        <v>182</v>
      </c>
      <c r="C2" s="218" t="s">
        <v>183</v>
      </c>
      <c r="D2" s="218" t="s">
        <v>184</v>
      </c>
      <c r="E2" s="218" t="s">
        <v>185</v>
      </c>
      <c r="F2" s="218" t="s">
        <v>186</v>
      </c>
      <c r="G2" s="218" t="s">
        <v>187</v>
      </c>
      <c r="H2" s="218" t="s">
        <v>188</v>
      </c>
    </row>
    <row r="3">
      <c r="A3" s="219" t="s">
        <v>19</v>
      </c>
      <c r="B3" s="220">
        <v>105.97</v>
      </c>
      <c r="C3" s="221">
        <v>105.95</v>
      </c>
      <c r="D3" s="222">
        <f>'WoW Positions'!M16</f>
        <v>7891078.672</v>
      </c>
      <c r="E3" s="223">
        <f t="shared" ref="E3:E6" si="1">B3*D3</f>
        <v>836217606.9</v>
      </c>
      <c r="F3" s="223">
        <f t="shared" ref="F3:F6" si="2">C3*D3</f>
        <v>836059785.3</v>
      </c>
      <c r="G3" s="224">
        <f t="shared" ref="G3:G6" si="3">(F3/E3-1)*365/30</f>
        <v>-0.002296247366</v>
      </c>
      <c r="H3" s="225">
        <v>0.002</v>
      </c>
    </row>
    <row r="4">
      <c r="A4" s="219" t="s">
        <v>140</v>
      </c>
      <c r="B4" s="220">
        <v>111.41</v>
      </c>
      <c r="C4" s="221">
        <v>112.23</v>
      </c>
      <c r="D4" s="222">
        <f>'WoW Positions'!M17</f>
        <v>2797725</v>
      </c>
      <c r="E4" s="223">
        <f t="shared" si="1"/>
        <v>311694542.3</v>
      </c>
      <c r="F4" s="223">
        <f t="shared" si="2"/>
        <v>313988676.8</v>
      </c>
      <c r="G4" s="224">
        <f t="shared" si="3"/>
        <v>0.08954911289</v>
      </c>
      <c r="H4" s="225">
        <v>0.0968</v>
      </c>
    </row>
    <row r="5">
      <c r="A5" s="219" t="s">
        <v>139</v>
      </c>
      <c r="B5" s="220">
        <v>62.07</v>
      </c>
      <c r="C5" s="221">
        <v>62.28</v>
      </c>
      <c r="D5" s="222">
        <f>'WoW Positions'!M18</f>
        <v>8084480</v>
      </c>
      <c r="E5" s="223">
        <f t="shared" si="1"/>
        <v>501803673.6</v>
      </c>
      <c r="F5" s="223">
        <f t="shared" si="2"/>
        <v>503501414.4</v>
      </c>
      <c r="G5" s="224">
        <f t="shared" si="3"/>
        <v>0.04116320284</v>
      </c>
      <c r="H5" s="225">
        <v>0.042</v>
      </c>
    </row>
    <row r="6">
      <c r="A6" s="226" t="s">
        <v>142</v>
      </c>
      <c r="B6" s="220">
        <v>108.3</v>
      </c>
      <c r="C6" s="221">
        <v>109.13</v>
      </c>
      <c r="D6" s="222">
        <f>'WoW Positions'!M19</f>
        <v>7531893</v>
      </c>
      <c r="E6" s="223">
        <f t="shared" si="1"/>
        <v>815704011.9</v>
      </c>
      <c r="F6" s="223">
        <f t="shared" si="2"/>
        <v>821955483.1</v>
      </c>
      <c r="G6" s="224">
        <f t="shared" si="3"/>
        <v>0.0932440751</v>
      </c>
      <c r="H6" s="225">
        <v>0.1</v>
      </c>
    </row>
    <row r="7">
      <c r="A7" s="227" t="s">
        <v>189</v>
      </c>
      <c r="B7" s="227" t="s">
        <v>190</v>
      </c>
      <c r="C7" s="227" t="s">
        <v>191</v>
      </c>
      <c r="D7" s="227" t="s">
        <v>8</v>
      </c>
      <c r="E7" s="228" t="s">
        <v>192</v>
      </c>
      <c r="F7" s="228" t="s">
        <v>193</v>
      </c>
      <c r="G7" s="227" t="s">
        <v>194</v>
      </c>
      <c r="H7" s="227" t="s">
        <v>195</v>
      </c>
    </row>
    <row r="8">
      <c r="A8" s="229" t="s">
        <v>12</v>
      </c>
      <c r="B8" s="230">
        <f>'WoW Positions'!C7</f>
        <v>1999988012</v>
      </c>
      <c r="C8" s="231">
        <f>'WoW Positions'!Q7</f>
        <v>0.1088</v>
      </c>
      <c r="D8" s="232">
        <f>'WoW Positions'!U7</f>
        <v>345</v>
      </c>
      <c r="E8" s="233">
        <f>'WoW Positions'!V7</f>
        <v>131</v>
      </c>
      <c r="F8" s="232">
        <f t="shared" ref="F8:F13" si="4">D8-E8</f>
        <v>214</v>
      </c>
      <c r="G8" s="234">
        <f t="shared" ref="G8:G13" si="5">B8*C8*F8/365</f>
        <v>127578413.4</v>
      </c>
      <c r="H8" s="234">
        <f t="shared" ref="H8:H13" si="6">B8+G8</f>
        <v>2127566425</v>
      </c>
    </row>
    <row r="9">
      <c r="A9" s="229" t="s">
        <v>14</v>
      </c>
      <c r="B9" s="230">
        <f>'WoW Positions'!C8</f>
        <v>474182500</v>
      </c>
      <c r="C9" s="231">
        <f>'WoW Positions'!Q8</f>
        <v>0.1092</v>
      </c>
      <c r="D9" s="232">
        <f>'WoW Positions'!U8</f>
        <v>182</v>
      </c>
      <c r="E9" s="233">
        <f>'WoW Positions'!V8</f>
        <v>75</v>
      </c>
      <c r="F9" s="232">
        <f t="shared" si="4"/>
        <v>107</v>
      </c>
      <c r="G9" s="234">
        <f t="shared" si="5"/>
        <v>15179556.17</v>
      </c>
      <c r="H9" s="234">
        <f t="shared" si="6"/>
        <v>489362056.2</v>
      </c>
    </row>
    <row r="10">
      <c r="A10" s="229" t="s">
        <v>12</v>
      </c>
      <c r="B10" s="230">
        <f>'WoW Positions'!C9</f>
        <v>1312778062</v>
      </c>
      <c r="C10" s="231">
        <f>'WoW Positions'!Q9</f>
        <v>0.1055</v>
      </c>
      <c r="D10" s="232">
        <f>'WoW Positions'!U9</f>
        <v>364</v>
      </c>
      <c r="E10" s="233">
        <f>'WoW Positions'!V9</f>
        <v>327</v>
      </c>
      <c r="F10" s="232">
        <f t="shared" si="4"/>
        <v>37</v>
      </c>
      <c r="G10" s="234">
        <f t="shared" si="5"/>
        <v>14039531.96</v>
      </c>
      <c r="H10" s="234">
        <f t="shared" si="6"/>
        <v>1326817594</v>
      </c>
    </row>
    <row r="11">
      <c r="A11" s="235" t="s">
        <v>12</v>
      </c>
      <c r="B11" s="230">
        <f>'WoW Positions'!C10</f>
        <v>384022350</v>
      </c>
      <c r="C11" s="231">
        <f>'WoW Positions'!Q10</f>
        <v>0.107</v>
      </c>
      <c r="D11" s="232">
        <f>'WoW Positions'!U10</f>
        <v>364</v>
      </c>
      <c r="E11" s="233">
        <f>'WoW Positions'!V10</f>
        <v>341</v>
      </c>
      <c r="F11" s="232">
        <f t="shared" si="4"/>
        <v>23</v>
      </c>
      <c r="G11" s="234">
        <f t="shared" si="5"/>
        <v>2589257.543</v>
      </c>
      <c r="H11" s="234">
        <f t="shared" si="6"/>
        <v>386611607.5</v>
      </c>
    </row>
    <row r="12">
      <c r="A12" s="235" t="s">
        <v>12</v>
      </c>
      <c r="B12" s="230">
        <f>'WoW Positions'!C11</f>
        <v>451587500</v>
      </c>
      <c r="C12" s="231">
        <f>'WoW Positions'!Q11</f>
        <v>0.1072</v>
      </c>
      <c r="D12" s="232">
        <f>'WoW Positions'!U11</f>
        <v>364</v>
      </c>
      <c r="E12" s="233">
        <f>'WoW Positions'!V11</f>
        <v>341</v>
      </c>
      <c r="F12" s="232">
        <f t="shared" si="4"/>
        <v>23</v>
      </c>
      <c r="G12" s="234">
        <f t="shared" si="5"/>
        <v>3050504.493</v>
      </c>
      <c r="H12" s="234">
        <f t="shared" si="6"/>
        <v>454638004.5</v>
      </c>
    </row>
    <row r="13">
      <c r="A13" s="235" t="s">
        <v>12</v>
      </c>
      <c r="B13" s="230">
        <f>'WoW Positions'!C12</f>
        <v>451709500</v>
      </c>
      <c r="C13" s="231">
        <f>'WoW Positions'!Q12</f>
        <v>0.1075</v>
      </c>
      <c r="D13" s="232">
        <f>'WoW Positions'!U12</f>
        <v>364</v>
      </c>
      <c r="E13" s="233">
        <f>'WoW Positions'!V12</f>
        <v>341</v>
      </c>
      <c r="F13" s="232">
        <f t="shared" si="4"/>
        <v>23</v>
      </c>
      <c r="G13" s="234">
        <f t="shared" si="5"/>
        <v>3059867.777</v>
      </c>
      <c r="H13" s="234">
        <f t="shared" si="6"/>
        <v>454769367.8</v>
      </c>
    </row>
    <row r="14">
      <c r="A14" s="236" t="s">
        <v>18</v>
      </c>
      <c r="B14" s="236" t="s">
        <v>196</v>
      </c>
      <c r="C14" s="236" t="s">
        <v>51</v>
      </c>
      <c r="D14" s="236" t="s">
        <v>197</v>
      </c>
      <c r="E14" s="236" t="s">
        <v>198</v>
      </c>
      <c r="F14" s="236" t="s">
        <v>194</v>
      </c>
      <c r="G14" s="237"/>
      <c r="H14" s="237"/>
    </row>
    <row r="15">
      <c r="A15" s="237"/>
      <c r="B15" s="238">
        <v>1.3E9</v>
      </c>
      <c r="C15" s="239">
        <v>0.1005</v>
      </c>
      <c r="D15" s="240">
        <v>30.0</v>
      </c>
      <c r="E15" s="241">
        <f>B15+(B15*C15*D15/365)</f>
        <v>1310738356</v>
      </c>
      <c r="F15" s="241">
        <f>E15-B15</f>
        <v>10738356.16</v>
      </c>
      <c r="G15" s="237"/>
      <c r="H15" s="237"/>
    </row>
    <row r="16">
      <c r="A16" s="228" t="s">
        <v>199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3.0"/>
  </cols>
  <sheetData>
    <row r="2">
      <c r="B2" s="242" t="s">
        <v>200</v>
      </c>
    </row>
    <row r="3">
      <c r="B3" s="243"/>
      <c r="C3" s="244"/>
      <c r="D3" s="245"/>
      <c r="E3" s="245"/>
      <c r="F3" s="245"/>
      <c r="G3" s="245"/>
      <c r="H3" s="246"/>
      <c r="I3" s="246"/>
      <c r="J3" s="246"/>
      <c r="K3" s="246"/>
      <c r="L3" s="246"/>
      <c r="M3" s="246"/>
      <c r="N3" s="246"/>
      <c r="O3" s="247"/>
      <c r="P3" s="248"/>
      <c r="Q3" s="248"/>
      <c r="R3" s="246"/>
      <c r="S3" s="246"/>
      <c r="T3" s="249"/>
      <c r="U3" s="245"/>
      <c r="V3" s="245"/>
      <c r="W3" s="245"/>
      <c r="X3" s="245"/>
      <c r="Y3" s="245"/>
    </row>
    <row r="4">
      <c r="B4" s="133" t="s">
        <v>137</v>
      </c>
      <c r="C4" s="135" t="s">
        <v>147</v>
      </c>
      <c r="D4" s="135" t="s">
        <v>148</v>
      </c>
      <c r="E4" s="135" t="s">
        <v>149</v>
      </c>
      <c r="F4" s="250" t="s">
        <v>150</v>
      </c>
      <c r="G4" s="135" t="s">
        <v>151</v>
      </c>
      <c r="H4" s="135" t="s">
        <v>152</v>
      </c>
      <c r="I4" s="135" t="s">
        <v>153</v>
      </c>
      <c r="J4" s="135" t="s">
        <v>154</v>
      </c>
      <c r="K4" s="250" t="s">
        <v>155</v>
      </c>
      <c r="L4" s="135" t="s">
        <v>156</v>
      </c>
      <c r="M4" s="135" t="s">
        <v>157</v>
      </c>
      <c r="N4" s="134" t="s">
        <v>158</v>
      </c>
      <c r="O4" s="134" t="s">
        <v>159</v>
      </c>
      <c r="P4" s="250" t="s">
        <v>160</v>
      </c>
      <c r="Q4" s="134" t="s">
        <v>161</v>
      </c>
      <c r="R4" s="135" t="s">
        <v>201</v>
      </c>
      <c r="S4" s="134" t="s">
        <v>8</v>
      </c>
      <c r="T4" s="134" t="s">
        <v>165</v>
      </c>
      <c r="U4" s="250" t="s">
        <v>6</v>
      </c>
      <c r="V4" s="250" t="s">
        <v>166</v>
      </c>
      <c r="W4" s="136" t="s">
        <v>167</v>
      </c>
      <c r="X4" s="250" t="s">
        <v>168</v>
      </c>
      <c r="Y4" s="251" t="s">
        <v>97</v>
      </c>
    </row>
    <row r="5">
      <c r="B5" s="143" t="s">
        <v>12</v>
      </c>
      <c r="C5" s="144">
        <v>1.999988012E9</v>
      </c>
      <c r="D5" s="145">
        <v>2.1204124956507704E9</v>
      </c>
      <c r="E5" s="145">
        <v>2.1245856213218367E9</v>
      </c>
      <c r="F5" s="146">
        <v>4173125.671066284</v>
      </c>
      <c r="G5" s="147"/>
      <c r="H5" s="147"/>
      <c r="I5" s="147"/>
      <c r="J5" s="147"/>
      <c r="K5" s="148"/>
      <c r="L5" s="147"/>
      <c r="M5" s="147"/>
      <c r="N5" s="147">
        <v>45895.0</v>
      </c>
      <c r="O5" s="147">
        <v>46240.0</v>
      </c>
      <c r="P5" s="149">
        <v>0.10879999999999955</v>
      </c>
      <c r="Q5" s="150">
        <v>0.1088</v>
      </c>
      <c r="R5" s="151">
        <v>0.10879999999999955</v>
      </c>
      <c r="S5" s="152">
        <v>345.0</v>
      </c>
      <c r="T5" s="152">
        <v>136.0</v>
      </c>
      <c r="U5" s="149">
        <v>0.213543587351493</v>
      </c>
      <c r="V5" s="153">
        <v>71394.87944507941</v>
      </c>
      <c r="W5" s="153">
        <v>0.3360414319318429</v>
      </c>
      <c r="X5" s="154">
        <v>0.1129238439748034</v>
      </c>
      <c r="Y5" s="159">
        <v>46104.0</v>
      </c>
    </row>
    <row r="6">
      <c r="B6" s="143" t="s">
        <v>14</v>
      </c>
      <c r="C6" s="144">
        <v>4.741825E8</v>
      </c>
      <c r="D6" s="145">
        <v>4.876596760410959E8</v>
      </c>
      <c r="E6" s="145">
        <v>4.886527311178082E8</v>
      </c>
      <c r="F6" s="146">
        <v>993055.0767123103</v>
      </c>
      <c r="G6" s="147"/>
      <c r="H6" s="147"/>
      <c r="I6" s="147"/>
      <c r="J6" s="147"/>
      <c r="K6" s="148"/>
      <c r="L6" s="147"/>
      <c r="M6" s="147"/>
      <c r="N6" s="147">
        <v>46002.0</v>
      </c>
      <c r="O6" s="147">
        <v>46184.0</v>
      </c>
      <c r="P6" s="149">
        <v>0.10919999999999798</v>
      </c>
      <c r="Q6" s="150">
        <v>0.1092</v>
      </c>
      <c r="R6" s="151">
        <v>0.10919999999999798</v>
      </c>
      <c r="S6" s="152">
        <v>182.0</v>
      </c>
      <c r="T6" s="152">
        <v>80.0</v>
      </c>
      <c r="U6" s="149">
        <v>0.050629619528589125</v>
      </c>
      <c r="V6" s="153">
        <v>9655.785112168875</v>
      </c>
      <c r="W6" s="153">
        <v>0.1976001462241082</v>
      </c>
      <c r="X6" s="154">
        <v>0.03904581778778894</v>
      </c>
      <c r="Y6" s="159">
        <v>46104.0</v>
      </c>
    </row>
    <row r="7">
      <c r="B7" s="143" t="s">
        <v>12</v>
      </c>
      <c r="C7" s="144">
        <v>1.312778062E9</v>
      </c>
      <c r="D7" s="145">
        <v>1.3222642322425342E9</v>
      </c>
      <c r="E7" s="145">
        <v>1.3249203599104438E9</v>
      </c>
      <c r="F7" s="146">
        <v>2656127.667909622</v>
      </c>
      <c r="G7" s="147"/>
      <c r="H7" s="147"/>
      <c r="I7" s="147"/>
      <c r="J7" s="147"/>
      <c r="K7" s="148"/>
      <c r="L7" s="147"/>
      <c r="M7" s="147"/>
      <c r="N7" s="147">
        <v>46072.0</v>
      </c>
      <c r="O7" s="147">
        <v>46436.0</v>
      </c>
      <c r="P7" s="149">
        <v>0.10550000000000133</v>
      </c>
      <c r="Q7" s="160">
        <v>0.1055</v>
      </c>
      <c r="R7" s="151">
        <v>0.10550000000000133</v>
      </c>
      <c r="S7" s="161">
        <v>364.0</v>
      </c>
      <c r="T7" s="152">
        <v>332.0</v>
      </c>
      <c r="U7" s="149">
        <v>0.1401685085479506</v>
      </c>
      <c r="V7" s="153">
        <v>109012.48663042631</v>
      </c>
      <c r="W7" s="153">
        <v>0.8227852022577029</v>
      </c>
      <c r="X7" s="154">
        <v>0.676975489054249</v>
      </c>
      <c r="Y7" s="159">
        <v>46104.0</v>
      </c>
    </row>
    <row r="8">
      <c r="B8" s="162" t="s">
        <v>12</v>
      </c>
      <c r="C8" s="144">
        <v>3.8402235E8</v>
      </c>
      <c r="D8" s="145">
        <v>3.852606905642466E8</v>
      </c>
      <c r="E8" s="145">
        <v>3.860487254687671E8</v>
      </c>
      <c r="F8" s="146">
        <v>788034.9045205116</v>
      </c>
      <c r="G8" s="147"/>
      <c r="H8" s="147"/>
      <c r="I8" s="147"/>
      <c r="J8" s="147"/>
      <c r="K8" s="148"/>
      <c r="L8" s="147"/>
      <c r="M8" s="147"/>
      <c r="N8" s="147">
        <v>46086.0</v>
      </c>
      <c r="O8" s="147">
        <v>46450.0</v>
      </c>
      <c r="P8" s="149">
        <v>0.10699999999999509</v>
      </c>
      <c r="Q8" s="160">
        <v>0.107</v>
      </c>
      <c r="R8" s="151">
        <v>0.10699999999999509</v>
      </c>
      <c r="S8" s="161">
        <v>364.0</v>
      </c>
      <c r="T8" s="152">
        <v>346.0</v>
      </c>
      <c r="U8" s="149">
        <v>0.04100300089306266</v>
      </c>
      <c r="V8" s="153">
        <v>33058.088382075075</v>
      </c>
      <c r="W8" s="153">
        <v>0.8563190654737598</v>
      </c>
      <c r="X8" s="154">
        <v>0.7332823418938532</v>
      </c>
      <c r="Y8" s="159">
        <v>46104.0</v>
      </c>
    </row>
    <row r="9">
      <c r="B9" s="162" t="s">
        <v>12</v>
      </c>
      <c r="C9" s="144">
        <v>4.515875E8</v>
      </c>
      <c r="D9" s="145">
        <v>4.530464369315069E8</v>
      </c>
      <c r="E9" s="145">
        <v>4.5397485134246576E8</v>
      </c>
      <c r="F9" s="146">
        <v>928414.4109588861</v>
      </c>
      <c r="G9" s="147"/>
      <c r="H9" s="147"/>
      <c r="I9" s="147"/>
      <c r="J9" s="147"/>
      <c r="K9" s="148"/>
      <c r="L9" s="147"/>
      <c r="M9" s="147"/>
      <c r="N9" s="147">
        <v>46086.0</v>
      </c>
      <c r="O9" s="147">
        <v>46450.0</v>
      </c>
      <c r="P9" s="149">
        <v>0.10719999999999794</v>
      </c>
      <c r="Q9" s="160">
        <v>0.1072</v>
      </c>
      <c r="R9" s="151">
        <v>0.10719999999999794</v>
      </c>
      <c r="S9" s="161">
        <v>364.0</v>
      </c>
      <c r="T9" s="152">
        <v>346.0</v>
      </c>
      <c r="U9" s="149">
        <v>0.04821709638982193</v>
      </c>
      <c r="V9" s="153">
        <v>38867.70987521111</v>
      </c>
      <c r="W9" s="153">
        <v>0.8561643835616438</v>
      </c>
      <c r="X9" s="154">
        <v>0.7330174516794896</v>
      </c>
      <c r="Y9" s="159">
        <v>46104.0</v>
      </c>
    </row>
    <row r="10">
      <c r="B10" s="162" t="s">
        <v>12</v>
      </c>
      <c r="C10" s="144">
        <v>4.517095E8</v>
      </c>
      <c r="D10" s="145">
        <v>4.5317291502397263E8</v>
      </c>
      <c r="E10" s="145">
        <v>4.5410417913013697E8</v>
      </c>
      <c r="F10" s="146">
        <v>931264.1061643362</v>
      </c>
      <c r="G10" s="147"/>
      <c r="H10" s="147"/>
      <c r="I10" s="147"/>
      <c r="J10" s="147"/>
      <c r="K10" s="148"/>
      <c r="L10" s="147"/>
      <c r="M10" s="147"/>
      <c r="N10" s="147">
        <v>46086.0</v>
      </c>
      <c r="O10" s="147">
        <v>46450.0</v>
      </c>
      <c r="P10" s="149">
        <v>0.10749999999999453</v>
      </c>
      <c r="Q10" s="160">
        <v>0.1075</v>
      </c>
      <c r="R10" s="151">
        <v>0.10749999999999453</v>
      </c>
      <c r="S10" s="152">
        <v>364.0</v>
      </c>
      <c r="T10" s="152">
        <v>346.0</v>
      </c>
      <c r="U10" s="149">
        <v>0.04823012262672964</v>
      </c>
      <c r="V10" s="153">
        <v>38868.2509611373</v>
      </c>
      <c r="W10" s="153">
        <v>0.8559324654442005</v>
      </c>
      <c r="X10" s="154">
        <v>0.7326203854013876</v>
      </c>
      <c r="Y10" s="159">
        <v>46104.0</v>
      </c>
    </row>
    <row r="11">
      <c r="B11" s="143" t="s">
        <v>15</v>
      </c>
      <c r="C11" s="144">
        <v>2.53133899E8</v>
      </c>
      <c r="D11" s="145">
        <v>2.53133899E8</v>
      </c>
      <c r="E11" s="163">
        <v>2.53133899E8</v>
      </c>
      <c r="F11" s="146">
        <v>398079.06308493146</v>
      </c>
      <c r="G11" s="147"/>
      <c r="H11" s="147"/>
      <c r="I11" s="147"/>
      <c r="J11" s="147"/>
      <c r="K11" s="148"/>
      <c r="L11" s="147"/>
      <c r="M11" s="147"/>
      <c r="N11" s="147"/>
      <c r="O11" s="147"/>
      <c r="P11" s="164">
        <v>0.08199999999999999</v>
      </c>
      <c r="Q11" s="150">
        <v>0.1025</v>
      </c>
      <c r="R11" s="165">
        <v>0.082</v>
      </c>
      <c r="S11" s="166">
        <v>1.0</v>
      </c>
      <c r="T11" s="166">
        <v>1.0</v>
      </c>
      <c r="U11" s="149">
        <v>0.027027722440533565</v>
      </c>
      <c r="V11" s="153">
        <v>62.90408449041718</v>
      </c>
      <c r="W11" s="153">
        <v>0.002485012269748082</v>
      </c>
      <c r="X11" s="154">
        <v>6.1752859807985136E-6</v>
      </c>
      <c r="Y11" s="159">
        <v>46104.0</v>
      </c>
    </row>
    <row r="12">
      <c r="B12" s="167" t="s">
        <v>16</v>
      </c>
      <c r="C12" s="144">
        <v>0.0</v>
      </c>
      <c r="D12" s="145">
        <v>0.0</v>
      </c>
      <c r="E12" s="145">
        <v>0.0</v>
      </c>
      <c r="F12" s="146">
        <v>0.0</v>
      </c>
      <c r="G12" s="168"/>
      <c r="H12" s="168"/>
      <c r="I12" s="168"/>
      <c r="J12" s="168"/>
      <c r="K12" s="148"/>
      <c r="L12" s="168"/>
      <c r="M12" s="168"/>
      <c r="N12" s="168"/>
      <c r="O12" s="168">
        <v>46118.0</v>
      </c>
      <c r="P12" s="164">
        <v>0.0</v>
      </c>
      <c r="Q12" s="170">
        <v>0.105</v>
      </c>
      <c r="R12" s="165">
        <v>0.084</v>
      </c>
      <c r="S12" s="166">
        <v>14.0</v>
      </c>
      <c r="T12" s="166">
        <v>14.0</v>
      </c>
      <c r="U12" s="149">
        <v>0.0</v>
      </c>
      <c r="V12" s="153">
        <v>0.0</v>
      </c>
      <c r="W12" s="153">
        <v>0.034711460980598775</v>
      </c>
      <c r="X12" s="154">
        <v>0.0012048855234076312</v>
      </c>
      <c r="Y12" s="159">
        <v>46104.0</v>
      </c>
    </row>
    <row r="13">
      <c r="B13" s="171" t="s">
        <v>18</v>
      </c>
      <c r="C13" s="172">
        <v>1.3E9</v>
      </c>
      <c r="D13" s="145">
        <v>1.3042953424657533E9</v>
      </c>
      <c r="E13" s="145">
        <v>1.3062998356164384E9</v>
      </c>
      <c r="F13" s="146">
        <v>2004493.150685072</v>
      </c>
      <c r="G13" s="168"/>
      <c r="H13" s="168"/>
      <c r="I13" s="168"/>
      <c r="J13" s="168"/>
      <c r="K13" s="148"/>
      <c r="L13" s="168"/>
      <c r="M13" s="168"/>
      <c r="N13" s="168">
        <v>46082.0</v>
      </c>
      <c r="O13" s="168">
        <v>46112.0</v>
      </c>
      <c r="P13" s="173">
        <v>0.08040000000000562</v>
      </c>
      <c r="Q13" s="174">
        <v>0.1005</v>
      </c>
      <c r="R13" s="165">
        <v>0.08040000000000001</v>
      </c>
      <c r="S13" s="161">
        <v>30.0</v>
      </c>
      <c r="T13" s="161">
        <v>8.0</v>
      </c>
      <c r="U13" s="149">
        <v>0.1388041637706281</v>
      </c>
      <c r="V13" s="153">
        <v>2601.6564537741892</v>
      </c>
      <c r="W13" s="153">
        <v>0.019916227368630697</v>
      </c>
      <c r="X13" s="154">
        <v>3.9665611259899437E-4</v>
      </c>
      <c r="Y13" s="159">
        <v>46104.0</v>
      </c>
    </row>
    <row r="14">
      <c r="B14" s="167" t="s">
        <v>19</v>
      </c>
      <c r="C14" s="144">
        <v>8.2760844E8</v>
      </c>
      <c r="D14" s="175">
        <v>8.344815695534251E8</v>
      </c>
      <c r="E14" s="175">
        <v>8.349345174691921E8</v>
      </c>
      <c r="F14" s="146">
        <v>452947.91576707363</v>
      </c>
      <c r="G14" s="176">
        <v>0.0796</v>
      </c>
      <c r="H14" s="176">
        <v>-0.0387</v>
      </c>
      <c r="I14" s="176">
        <v>0.0679</v>
      </c>
      <c r="J14" s="176">
        <v>-0.06480000000000001</v>
      </c>
      <c r="K14" s="177">
        <v>105.75</v>
      </c>
      <c r="L14" s="252">
        <v>105.8074</v>
      </c>
      <c r="M14" s="179">
        <v>7891078.6719</v>
      </c>
      <c r="N14" s="147"/>
      <c r="O14" s="147"/>
      <c r="P14" s="180">
        <v>0.028302600472811683</v>
      </c>
      <c r="Q14" s="170">
        <v>0.03</v>
      </c>
      <c r="R14" s="165">
        <v>0.03</v>
      </c>
      <c r="S14" s="166">
        <v>284.7</v>
      </c>
      <c r="T14" s="166">
        <v>284.7</v>
      </c>
      <c r="U14" s="149">
        <v>0.08836576726439542</v>
      </c>
      <c r="V14" s="153">
        <v>63228.0508374728</v>
      </c>
      <c r="W14" s="153">
        <v>0.7572815533980581</v>
      </c>
      <c r="X14" s="154">
        <v>0.573475351116976</v>
      </c>
      <c r="Y14" s="159">
        <v>46104.0</v>
      </c>
    </row>
    <row r="15">
      <c r="B15" s="167" t="s">
        <v>140</v>
      </c>
      <c r="C15" s="172">
        <v>3.13233291E8</v>
      </c>
      <c r="D15" s="175">
        <v>3.13233291E8</v>
      </c>
      <c r="E15" s="175">
        <v>3.134439596925E8</v>
      </c>
      <c r="F15" s="146">
        <v>210668.69249999523</v>
      </c>
      <c r="G15" s="176">
        <v>0.1128</v>
      </c>
      <c r="H15" s="176">
        <v>0.096</v>
      </c>
      <c r="I15" s="176">
        <v>0.09230000000000001</v>
      </c>
      <c r="J15" s="176">
        <v>0.095</v>
      </c>
      <c r="K15" s="177">
        <v>111.96</v>
      </c>
      <c r="L15" s="252">
        <v>112.0353</v>
      </c>
      <c r="M15" s="179">
        <v>2797725.0</v>
      </c>
      <c r="N15" s="147"/>
      <c r="O15" s="147"/>
      <c r="P15" s="180">
        <v>0.03506928494871363</v>
      </c>
      <c r="Q15" s="170">
        <v>0.03</v>
      </c>
      <c r="R15" s="165">
        <v>0.03</v>
      </c>
      <c r="S15" s="166">
        <v>1.0</v>
      </c>
      <c r="T15" s="166">
        <v>1.0</v>
      </c>
      <c r="U15" s="149">
        <v>0.0334446807864437</v>
      </c>
      <c r="V15" s="153">
        <v>83.37384218446603</v>
      </c>
      <c r="W15" s="153">
        <v>0.0026599281819390877</v>
      </c>
      <c r="X15" s="154">
        <v>7.075217933073781E-6</v>
      </c>
      <c r="Y15" s="159">
        <v>46104.0</v>
      </c>
    </row>
    <row r="16">
      <c r="B16" s="167" t="s">
        <v>139</v>
      </c>
      <c r="C16" s="172">
        <v>5.027738112E8</v>
      </c>
      <c r="D16" s="175">
        <v>5.027738112E8</v>
      </c>
      <c r="E16" s="175">
        <v>5.0303332300799996E8</v>
      </c>
      <c r="F16" s="146">
        <v>259511.80799996853</v>
      </c>
      <c r="G16" s="176">
        <v>0.1953</v>
      </c>
      <c r="H16" s="176">
        <v>0.0584</v>
      </c>
      <c r="I16" s="176">
        <v>0.0599</v>
      </c>
      <c r="J16" s="176">
        <v>0.0552</v>
      </c>
      <c r="K16" s="177">
        <v>62.19</v>
      </c>
      <c r="L16" s="253">
        <v>62.2221</v>
      </c>
      <c r="M16" s="144">
        <v>8084480.0</v>
      </c>
      <c r="N16" s="147"/>
      <c r="O16" s="147"/>
      <c r="P16" s="180">
        <v>0.026914065191927357</v>
      </c>
      <c r="Q16" s="170">
        <v>0.05</v>
      </c>
      <c r="R16" s="165">
        <v>0.05</v>
      </c>
      <c r="S16" s="166">
        <v>80.3</v>
      </c>
      <c r="T16" s="166">
        <v>80.3</v>
      </c>
      <c r="U16" s="149">
        <v>0.05368238340722127</v>
      </c>
      <c r="V16" s="153">
        <v>10539.745815405713</v>
      </c>
      <c r="W16" s="153">
        <v>0.20952380952380953</v>
      </c>
      <c r="X16" s="154">
        <v>0.04390022675736961</v>
      </c>
      <c r="Y16" s="159">
        <v>46104.0</v>
      </c>
    </row>
    <row r="17">
      <c r="B17" s="162" t="s">
        <v>142</v>
      </c>
      <c r="C17" s="172">
        <v>8.196959151899999E8</v>
      </c>
      <c r="D17" s="175">
        <v>8.196959151899999E8</v>
      </c>
      <c r="E17" s="175">
        <v>8.203459175559001E8</v>
      </c>
      <c r="F17" s="146">
        <v>650002.3659001589</v>
      </c>
      <c r="G17" s="176">
        <v>0.1204</v>
      </c>
      <c r="H17" s="176">
        <v>0.0998</v>
      </c>
      <c r="I17" s="176">
        <v>0.09960000000000001</v>
      </c>
      <c r="J17" s="176">
        <v>0.09970000000000001</v>
      </c>
      <c r="K17" s="177">
        <v>108.83</v>
      </c>
      <c r="L17" s="253">
        <v>108.9163</v>
      </c>
      <c r="M17" s="144">
        <v>7531893.0</v>
      </c>
      <c r="N17" s="147"/>
      <c r="O17" s="147"/>
      <c r="P17" s="180">
        <v>0.04134823643690825</v>
      </c>
      <c r="Q17" s="170">
        <v>0.05</v>
      </c>
      <c r="R17" s="165">
        <v>0.05</v>
      </c>
      <c r="S17" s="166">
        <v>1.0</v>
      </c>
      <c r="T17" s="166">
        <v>1.0</v>
      </c>
      <c r="U17" s="149">
        <v>0.08752092773395971</v>
      </c>
      <c r="V17" s="153">
        <v>214.04981540923683</v>
      </c>
      <c r="W17" s="153">
        <v>0.002609262883235486</v>
      </c>
      <c r="X17" s="154">
        <v>6.8082527938303615E-6</v>
      </c>
      <c r="Y17" s="159">
        <v>46104.0</v>
      </c>
    </row>
    <row r="18">
      <c r="B18" s="181" t="s">
        <v>141</v>
      </c>
      <c r="C18" s="182">
        <v>2.75E8</v>
      </c>
      <c r="D18" s="183">
        <v>2.7640538184931505E8</v>
      </c>
      <c r="E18" s="184">
        <v>2.770513643835617E8</v>
      </c>
      <c r="F18" s="146">
        <v>645982.5342466235</v>
      </c>
      <c r="G18" s="185"/>
      <c r="H18" s="185"/>
      <c r="I18" s="185"/>
      <c r="J18" s="185"/>
      <c r="K18" s="185"/>
      <c r="L18" s="185"/>
      <c r="M18" s="185"/>
      <c r="N18" s="185">
        <v>46078.0</v>
      </c>
      <c r="O18" s="186">
        <v>46258.0</v>
      </c>
      <c r="P18" s="187">
        <v>0.12248500000000913</v>
      </c>
      <c r="Q18" s="188">
        <v>0.1309</v>
      </c>
      <c r="R18" s="165">
        <v>0.1309</v>
      </c>
      <c r="S18" s="190">
        <v>180.0</v>
      </c>
      <c r="T18" s="190">
        <v>154.0</v>
      </c>
      <c r="U18" s="191">
        <v>0.029362419259171327</v>
      </c>
      <c r="V18" s="153">
        <v>10336.272387023186</v>
      </c>
      <c r="W18" s="192">
        <v>0.37308144682923167</v>
      </c>
      <c r="X18" s="154">
        <v>0.1391897659681928</v>
      </c>
      <c r="Y18" s="159">
        <v>46104.0</v>
      </c>
    </row>
    <row r="19">
      <c r="B19" s="194" t="s">
        <v>174</v>
      </c>
      <c r="C19" s="195">
        <v>9.36571328039E9</v>
      </c>
      <c r="D19" s="195">
        <v>9.52583565671262E9</v>
      </c>
      <c r="E19" s="195">
        <v>9.540529285017052E9</v>
      </c>
      <c r="F19" s="195">
        <v>1.5091707367515774E7</v>
      </c>
      <c r="G19" s="196"/>
      <c r="H19" s="196"/>
      <c r="I19" s="196"/>
      <c r="J19" s="196"/>
      <c r="K19" s="196"/>
      <c r="L19" s="196"/>
      <c r="M19" s="196"/>
      <c r="N19" s="196"/>
      <c r="O19" s="196"/>
      <c r="P19" s="197">
        <v>0.08400109957601308</v>
      </c>
      <c r="Q19" s="197">
        <v>0.08956918610780576</v>
      </c>
      <c r="R19" s="197">
        <v>0.08622515410598464</v>
      </c>
      <c r="S19" s="198">
        <v>223.00612858752578</v>
      </c>
      <c r="T19" s="198">
        <v>162.4346869035479</v>
      </c>
      <c r="U19" s="197">
        <v>1.0</v>
      </c>
      <c r="V19" s="199">
        <v>387923.2536418582</v>
      </c>
      <c r="W19" s="199">
        <v>0.4070366494350972</v>
      </c>
      <c r="X19" s="199">
        <v>0.27890206632727743</v>
      </c>
      <c r="Y19" s="130"/>
    </row>
    <row r="20">
      <c r="B20" s="201" t="s">
        <v>175</v>
      </c>
      <c r="C20" s="202"/>
      <c r="D20" s="200"/>
      <c r="E20" s="200"/>
      <c r="F20" s="203"/>
      <c r="G20" s="200"/>
      <c r="H20" s="200"/>
      <c r="I20" s="200"/>
      <c r="J20" s="200"/>
      <c r="K20" s="200"/>
      <c r="L20" s="200"/>
      <c r="M20" s="200"/>
      <c r="N20" s="204"/>
      <c r="O20" s="204"/>
      <c r="P20" s="205"/>
      <c r="Q20" s="206"/>
      <c r="R20" s="200"/>
      <c r="S20" s="200"/>
      <c r="T20" s="207"/>
      <c r="U20" s="200"/>
      <c r="V20" s="200"/>
      <c r="W20" s="200"/>
      <c r="X20" s="200"/>
      <c r="Y20" s="130"/>
    </row>
    <row r="21">
      <c r="B21" s="155" t="s">
        <v>176</v>
      </c>
      <c r="C21" s="182">
        <v>1.238E9</v>
      </c>
      <c r="D21" s="157">
        <v>1.238E9</v>
      </c>
      <c r="E21" s="157">
        <v>1.238E9</v>
      </c>
      <c r="F21" s="146">
        <v>-2511952.876712329</v>
      </c>
      <c r="G21" s="130"/>
      <c r="H21" s="130"/>
      <c r="I21" s="130"/>
      <c r="J21" s="130"/>
      <c r="K21" s="130"/>
      <c r="L21" s="130"/>
      <c r="M21" s="130"/>
      <c r="N21" s="208">
        <v>46082.0</v>
      </c>
      <c r="O21" s="208">
        <v>46112.0</v>
      </c>
      <c r="P21" s="191"/>
      <c r="Q21" s="209">
        <v>-0.1058</v>
      </c>
      <c r="R21" s="130"/>
      <c r="S21" s="130"/>
      <c r="T21" s="210">
        <v>90.0</v>
      </c>
      <c r="U21" s="130"/>
      <c r="V21" s="130"/>
      <c r="W21" s="130"/>
      <c r="X21" s="130"/>
      <c r="Y21" s="130"/>
    </row>
    <row r="22">
      <c r="B22" s="130"/>
      <c r="C22" s="130"/>
      <c r="D22" s="130"/>
      <c r="E22" s="130"/>
      <c r="F22" s="146">
        <v>1.2579754490803445E7</v>
      </c>
      <c r="G22" s="155"/>
      <c r="H22" s="130"/>
      <c r="I22" s="130"/>
      <c r="J22" s="130"/>
      <c r="K22" s="130"/>
      <c r="L22" s="130"/>
      <c r="M22" s="130"/>
      <c r="N22" s="130"/>
      <c r="O22" s="130"/>
      <c r="P22" s="211">
        <v>0.08070466054564178</v>
      </c>
      <c r="Q22" s="130"/>
      <c r="R22" s="130"/>
      <c r="S22" s="130"/>
      <c r="T22" s="130"/>
      <c r="U22" s="130"/>
      <c r="V22" s="130"/>
      <c r="W22" s="130"/>
      <c r="X22" s="130"/>
      <c r="Y22" s="130"/>
    </row>
    <row r="23">
      <c r="B23" s="130"/>
      <c r="C23" s="130"/>
      <c r="D23" s="130"/>
      <c r="E23" s="130"/>
      <c r="F23" s="193">
        <v>-3.2296536986301377E7</v>
      </c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</row>
    <row r="24">
      <c r="B24" s="136" t="s">
        <v>177</v>
      </c>
      <c r="C24" s="130"/>
      <c r="D24" s="193">
        <v>82.8783565671262</v>
      </c>
      <c r="E24" s="193">
        <v>83.02529285017052</v>
      </c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</row>
    <row r="25">
      <c r="B25" s="155" t="s">
        <v>178</v>
      </c>
      <c r="D25" s="212">
        <v>1.0E8</v>
      </c>
      <c r="E25" s="212">
        <v>1.0E8</v>
      </c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</row>
    <row r="26">
      <c r="B26" s="130"/>
      <c r="C26" s="130"/>
      <c r="E26" s="213">
        <v>0.0017729150182328457</v>
      </c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</row>
    <row r="27"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5" max="5" width="61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5.5"/>
    <col customWidth="1" min="3" max="3" width="16.5"/>
    <col customWidth="1" min="4" max="5" width="12.5"/>
    <col customWidth="1" min="6" max="6" width="13.75"/>
    <col customWidth="1" min="7" max="7" width="9.5"/>
    <col customWidth="1" min="8" max="26" width="12.5"/>
  </cols>
  <sheetData>
    <row r="1" ht="15.75" customHeight="1">
      <c r="A1" s="143"/>
      <c r="B1" s="143"/>
      <c r="C1" s="143"/>
      <c r="D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5.7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5.75" customHeight="1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5.75" customHeight="1">
      <c r="A4" s="143"/>
      <c r="B4" s="133" t="s">
        <v>377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5.75" customHeight="1">
      <c r="A5" s="143"/>
      <c r="B5" s="133" t="s">
        <v>378</v>
      </c>
      <c r="C5" s="143"/>
      <c r="D5" s="143"/>
      <c r="E5" s="143"/>
      <c r="F5" s="143"/>
      <c r="G5" s="254" t="s">
        <v>379</v>
      </c>
      <c r="H5" s="255">
        <f>TODAY()</f>
        <v>46109</v>
      </c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5.75" customHeight="1">
      <c r="A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5.75" customHeight="1">
      <c r="A7" s="256"/>
      <c r="B7" s="133" t="s">
        <v>380</v>
      </c>
      <c r="C7" s="143"/>
      <c r="D7" s="143"/>
      <c r="E7" s="143"/>
      <c r="F7" s="143"/>
      <c r="G7" s="143"/>
      <c r="H7" s="143"/>
      <c r="I7" s="257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5.75" customHeight="1">
      <c r="A8" s="256"/>
      <c r="B8" s="258" t="s">
        <v>381</v>
      </c>
      <c r="C8" s="259"/>
      <c r="D8" s="259"/>
      <c r="E8" s="259"/>
      <c r="F8" s="259"/>
      <c r="G8" s="260"/>
      <c r="H8" s="259"/>
      <c r="I8" s="257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5.75" customHeight="1">
      <c r="A9" s="256"/>
      <c r="B9" s="261" t="s">
        <v>382</v>
      </c>
      <c r="C9" s="262" t="s">
        <v>52</v>
      </c>
      <c r="D9" s="262" t="s">
        <v>51</v>
      </c>
      <c r="E9" s="262" t="s">
        <v>197</v>
      </c>
      <c r="F9" s="262" t="s">
        <v>383</v>
      </c>
      <c r="G9" s="262" t="s">
        <v>384</v>
      </c>
      <c r="H9" s="263" t="s">
        <v>385</v>
      </c>
      <c r="I9" s="257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5.75" customHeight="1">
      <c r="A10" s="256"/>
      <c r="B10" s="264" t="s">
        <v>386</v>
      </c>
      <c r="C10" s="265">
        <v>275.0</v>
      </c>
      <c r="D10" s="266">
        <f>10.56%+2.5%</f>
        <v>0.1306</v>
      </c>
      <c r="E10" s="265">
        <v>180.0</v>
      </c>
      <c r="F10" s="267">
        <f>C10*(D10*E10/C23)</f>
        <v>17.71150685</v>
      </c>
      <c r="G10" s="267">
        <f>F10*25%</f>
        <v>4.427876712</v>
      </c>
      <c r="H10" s="268">
        <f>F10-G10</f>
        <v>13.28363014</v>
      </c>
      <c r="I10" s="257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5.75" customHeight="1">
      <c r="A11" s="143"/>
      <c r="B11" s="269"/>
      <c r="C11" s="270"/>
      <c r="D11" s="270"/>
      <c r="E11" s="270"/>
      <c r="F11" s="271">
        <f>F10/C10</f>
        <v>0.06440547945</v>
      </c>
      <c r="G11" s="271"/>
      <c r="H11" s="272">
        <f>H10/C10</f>
        <v>0.04830410959</v>
      </c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5.75" customHeight="1">
      <c r="A12" s="143"/>
      <c r="B12" s="261" t="s">
        <v>387</v>
      </c>
      <c r="C12" s="262"/>
      <c r="D12" s="262"/>
      <c r="E12" s="263"/>
      <c r="F12" s="273">
        <f>F11*(365/180)</f>
        <v>0.1306</v>
      </c>
      <c r="G12" s="274"/>
      <c r="H12" s="275">
        <f>H11*(365/180)</f>
        <v>0.09795</v>
      </c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5.75" customHeight="1">
      <c r="A13" s="256"/>
      <c r="B13" s="265"/>
      <c r="C13" s="265"/>
      <c r="D13" s="265"/>
      <c r="E13" s="265"/>
      <c r="F13" s="265"/>
      <c r="G13" s="265"/>
      <c r="H13" s="265"/>
      <c r="I13" s="257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5.75" customHeight="1">
      <c r="A14" s="256"/>
      <c r="B14" s="258" t="s">
        <v>388</v>
      </c>
      <c r="C14" s="259"/>
      <c r="D14" s="259"/>
      <c r="E14" s="259"/>
      <c r="F14" s="276"/>
      <c r="G14" s="259"/>
      <c r="H14" s="259"/>
      <c r="I14" s="257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5.75" customHeight="1">
      <c r="A15" s="256"/>
      <c r="B15" s="261" t="s">
        <v>382</v>
      </c>
      <c r="C15" s="262" t="s">
        <v>52</v>
      </c>
      <c r="D15" s="262" t="s">
        <v>51</v>
      </c>
      <c r="E15" s="262" t="s">
        <v>197</v>
      </c>
      <c r="F15" s="262" t="s">
        <v>383</v>
      </c>
      <c r="G15" s="262" t="s">
        <v>389</v>
      </c>
      <c r="H15" s="263" t="s">
        <v>385</v>
      </c>
      <c r="I15" s="257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5.75" customHeight="1">
      <c r="A16" s="256"/>
      <c r="B16" s="277" t="s">
        <v>390</v>
      </c>
      <c r="C16" s="278">
        <v>275.0</v>
      </c>
      <c r="D16" s="279">
        <v>0.1025</v>
      </c>
      <c r="E16" s="278">
        <v>180.0</v>
      </c>
      <c r="F16" s="280">
        <f>C16*(D16*E16/C23)</f>
        <v>13.90068493</v>
      </c>
      <c r="G16" s="280">
        <f>F16*20%</f>
        <v>2.780136986</v>
      </c>
      <c r="H16" s="281">
        <f>F16-G16</f>
        <v>11.12054795</v>
      </c>
      <c r="I16" s="257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5.75" customHeight="1">
      <c r="A17" s="143"/>
      <c r="B17" s="269"/>
      <c r="C17" s="270"/>
      <c r="D17" s="270"/>
      <c r="E17" s="270"/>
      <c r="F17" s="271">
        <f>F16/C16</f>
        <v>0.05054794521</v>
      </c>
      <c r="G17" s="271"/>
      <c r="H17" s="272">
        <f>H16/C16</f>
        <v>0.04043835616</v>
      </c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5.75" customHeight="1">
      <c r="A18" s="256"/>
      <c r="B18" s="282" t="s">
        <v>387</v>
      </c>
      <c r="C18" s="270"/>
      <c r="D18" s="270"/>
      <c r="E18" s="270"/>
      <c r="F18" s="283">
        <f>F17*(365/180)</f>
        <v>0.1025</v>
      </c>
      <c r="G18" s="274"/>
      <c r="H18" s="275">
        <f>H17*(365/180)</f>
        <v>0.082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5.75" customHeight="1">
      <c r="A19" s="256"/>
      <c r="B19" s="284"/>
      <c r="C19" s="284"/>
      <c r="D19" s="265"/>
      <c r="E19" s="265"/>
      <c r="F19" s="265"/>
      <c r="G19" s="265"/>
      <c r="H19" s="265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5.75" customHeight="1">
      <c r="A20" s="143"/>
      <c r="B20" s="285" t="s">
        <v>391</v>
      </c>
      <c r="C20" s="286">
        <f>F12-F18</f>
        <v>0.0281</v>
      </c>
      <c r="D20" s="287"/>
      <c r="E20" s="288"/>
      <c r="G20" s="288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5.75" customHeight="1">
      <c r="A21" s="143"/>
      <c r="B21" s="285" t="s">
        <v>392</v>
      </c>
      <c r="C21" s="286">
        <f>H12-H18</f>
        <v>0.01595</v>
      </c>
      <c r="D21" s="257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5.75" customHeight="1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5.75" customHeight="1">
      <c r="A23" s="143"/>
      <c r="B23" s="289" t="s">
        <v>393</v>
      </c>
      <c r="C23" s="289">
        <v>365.0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5.75" customHeight="1">
      <c r="A24" s="143"/>
      <c r="B24" s="143"/>
      <c r="C24" s="143"/>
      <c r="D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5.75" customHeight="1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5.75" customHeight="1">
      <c r="A26" s="143"/>
      <c r="B26" s="143"/>
      <c r="C26" s="143"/>
      <c r="D26" s="143"/>
      <c r="E26" s="143"/>
      <c r="F26" s="143"/>
      <c r="G26" s="290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5.75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5.7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5.75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5.7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5.75" customHeight="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5.7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5.7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5.75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5.75" customHeight="1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5.75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5.75" customHeight="1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5.75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5.7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5.75" customHeight="1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5.7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5.75" customHeigh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5.75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5.75" customHeight="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5.75" customHeight="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5.75" customHeight="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5.75" customHeight="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5.75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5.75" customHeight="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5.7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5.7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5.7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5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5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5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5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5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5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5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5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5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5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5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5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5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5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5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5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5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5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5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5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5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5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5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5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1.75"/>
    <col customWidth="1" min="3" max="3" width="16.5"/>
    <col customWidth="1" min="4" max="4" width="7.75"/>
    <col customWidth="1" min="5" max="5" width="5.25"/>
    <col customWidth="1" min="6" max="6" width="7.25"/>
    <col customWidth="1" min="7" max="7" width="5.88"/>
    <col customWidth="1" min="8" max="8" width="17.75"/>
    <col customWidth="1" min="9" max="9" width="3.5"/>
    <col customWidth="1" min="10" max="10" width="23.5"/>
    <col customWidth="1" min="11" max="11" width="16.5"/>
    <col customWidth="1" min="12" max="12" width="7.75"/>
    <col customWidth="1" min="13" max="13" width="7.0"/>
    <col customWidth="1" min="14" max="14" width="7.25"/>
    <col customWidth="1" min="15" max="15" width="6.0"/>
    <col customWidth="1" min="16" max="16" width="17.5"/>
    <col customWidth="1" min="17" max="26" width="12.5"/>
  </cols>
  <sheetData>
    <row r="1" ht="15.75" customHeight="1">
      <c r="A1" s="143"/>
      <c r="B1" s="143"/>
      <c r="C1" s="143"/>
      <c r="D1" s="143"/>
      <c r="E1" s="143"/>
      <c r="F1" s="143"/>
      <c r="G1" s="143"/>
      <c r="H1" s="143"/>
      <c r="I1" s="291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5.75" customHeight="1">
      <c r="A2" s="143"/>
      <c r="B2" s="143"/>
      <c r="C2" s="143"/>
      <c r="D2" s="143"/>
      <c r="E2" s="143"/>
      <c r="F2" s="143"/>
      <c r="G2" s="143"/>
      <c r="H2" s="143"/>
      <c r="I2" s="291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5.75" customHeight="1">
      <c r="A3" s="143"/>
      <c r="B3" s="143"/>
      <c r="C3" s="143"/>
      <c r="D3" s="143"/>
      <c r="E3" s="143"/>
      <c r="F3" s="143"/>
      <c r="G3" s="143"/>
      <c r="H3" s="143"/>
      <c r="I3" s="291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5.75" customHeight="1">
      <c r="A4" s="143"/>
      <c r="B4" s="143"/>
      <c r="C4" s="143"/>
      <c r="D4" s="143"/>
      <c r="E4" s="143"/>
      <c r="F4" s="143"/>
      <c r="G4" s="143"/>
      <c r="H4" s="143"/>
      <c r="I4" s="291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5.75" customHeight="1">
      <c r="A5" s="143"/>
      <c r="B5" s="133" t="s">
        <v>377</v>
      </c>
      <c r="C5" s="143"/>
      <c r="D5" s="143"/>
      <c r="E5" s="143"/>
      <c r="F5" s="143"/>
      <c r="G5" s="143"/>
      <c r="H5" s="143"/>
      <c r="I5" s="291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5.75" customHeight="1">
      <c r="A6" s="143"/>
      <c r="B6" s="133" t="s">
        <v>378</v>
      </c>
      <c r="C6" s="143"/>
      <c r="D6" s="143"/>
      <c r="E6" s="143"/>
      <c r="G6" s="254" t="s">
        <v>379</v>
      </c>
      <c r="H6" s="292">
        <f>TODAY()</f>
        <v>46109</v>
      </c>
      <c r="I6" s="291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5.75" customHeight="1">
      <c r="A7" s="143"/>
      <c r="B7" s="143"/>
      <c r="C7" s="143"/>
      <c r="D7" s="143"/>
      <c r="E7" s="143"/>
      <c r="F7" s="143"/>
      <c r="G7" s="143"/>
      <c r="H7" s="143"/>
      <c r="I7" s="291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5.75" customHeight="1">
      <c r="A8" s="143"/>
      <c r="B8" s="133" t="s">
        <v>380</v>
      </c>
      <c r="C8" s="143"/>
      <c r="D8" s="143"/>
      <c r="E8" s="143"/>
      <c r="F8" s="143"/>
      <c r="G8" s="143"/>
      <c r="H8" s="143"/>
      <c r="I8" s="291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5.75" customHeight="1">
      <c r="A9" s="143"/>
      <c r="B9" s="258" t="s">
        <v>394</v>
      </c>
      <c r="C9" s="259"/>
      <c r="D9" s="259"/>
      <c r="E9" s="259"/>
      <c r="F9" s="259"/>
      <c r="G9" s="260"/>
      <c r="H9" s="259"/>
      <c r="I9" s="291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43"/>
      <c r="B10" s="293"/>
      <c r="C10" s="294" t="s">
        <v>395</v>
      </c>
      <c r="D10" s="295" t="s">
        <v>51</v>
      </c>
      <c r="E10" s="295" t="s">
        <v>197</v>
      </c>
      <c r="F10" s="294" t="s">
        <v>396</v>
      </c>
      <c r="G10" s="294" t="s">
        <v>397</v>
      </c>
      <c r="H10" s="296" t="s">
        <v>398</v>
      </c>
      <c r="I10" s="291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43"/>
      <c r="B11" s="297" t="s">
        <v>399</v>
      </c>
      <c r="C11" s="298">
        <v>1238.0</v>
      </c>
      <c r="D11" s="299">
        <v>0.1055</v>
      </c>
      <c r="E11" s="300">
        <v>90.0</v>
      </c>
      <c r="F11" s="301">
        <f>C11*(D11*E11/C24)</f>
        <v>32.2049589</v>
      </c>
      <c r="G11" s="301">
        <f>F11*15%</f>
        <v>4.830743836</v>
      </c>
      <c r="H11" s="302">
        <f>F11-G11</f>
        <v>27.37421507</v>
      </c>
      <c r="I11" s="291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5.75" customHeight="1">
      <c r="A12" s="143"/>
      <c r="B12" s="269"/>
      <c r="C12" s="303"/>
      <c r="D12" s="303"/>
      <c r="E12" s="303"/>
      <c r="F12" s="304">
        <f>F11/C11</f>
        <v>0.02601369863</v>
      </c>
      <c r="G12" s="304"/>
      <c r="H12" s="305">
        <f>H11/C11</f>
        <v>0.02211164384</v>
      </c>
      <c r="I12" s="291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5.75" customHeight="1">
      <c r="A13" s="143"/>
      <c r="B13" s="261" t="s">
        <v>387</v>
      </c>
      <c r="C13" s="306"/>
      <c r="D13" s="306"/>
      <c r="E13" s="307"/>
      <c r="F13" s="308"/>
      <c r="G13" s="309"/>
      <c r="H13" s="310">
        <f>H12*(365/E11)</f>
        <v>0.089675</v>
      </c>
      <c r="I13" s="291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5.75" customHeight="1">
      <c r="A14" s="143"/>
      <c r="B14" s="265"/>
      <c r="C14" s="265"/>
      <c r="D14" s="265"/>
      <c r="E14" s="265"/>
      <c r="F14" s="265"/>
      <c r="G14" s="265"/>
      <c r="H14" s="265"/>
      <c r="I14" s="291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5.75" customHeight="1">
      <c r="A15" s="143"/>
      <c r="B15" s="258" t="s">
        <v>388</v>
      </c>
      <c r="C15" s="259"/>
      <c r="D15" s="259"/>
      <c r="E15" s="259"/>
      <c r="F15" s="276"/>
      <c r="G15" s="259"/>
      <c r="H15" s="259"/>
      <c r="I15" s="291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5.75" customHeight="1">
      <c r="A16" s="143"/>
      <c r="B16" s="311"/>
      <c r="C16" s="294" t="s">
        <v>395</v>
      </c>
      <c r="D16" s="294" t="s">
        <v>51</v>
      </c>
      <c r="E16" s="294" t="s">
        <v>197</v>
      </c>
      <c r="F16" s="294" t="s">
        <v>396</v>
      </c>
      <c r="G16" s="294" t="s">
        <v>397</v>
      </c>
      <c r="H16" s="296" t="s">
        <v>398</v>
      </c>
      <c r="I16" s="291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5.75" customHeight="1">
      <c r="A17" s="143"/>
      <c r="B17" s="277" t="s">
        <v>390</v>
      </c>
      <c r="C17" s="298">
        <f>C11</f>
        <v>1238</v>
      </c>
      <c r="D17" s="312">
        <v>0.1025</v>
      </c>
      <c r="E17" s="313">
        <v>90.0</v>
      </c>
      <c r="F17" s="314">
        <f>C17*(D17*E17/C24)</f>
        <v>31.28917808</v>
      </c>
      <c r="G17" s="314">
        <f>F17*20%</f>
        <v>6.257835616</v>
      </c>
      <c r="H17" s="315">
        <f>F17-G17</f>
        <v>25.03134247</v>
      </c>
      <c r="I17" s="291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5.75" customHeight="1">
      <c r="A18" s="143"/>
      <c r="B18" s="269"/>
      <c r="C18" s="303"/>
      <c r="D18" s="303"/>
      <c r="E18" s="303"/>
      <c r="F18" s="316">
        <f>F17/C17</f>
        <v>0.0252739726</v>
      </c>
      <c r="G18" s="316"/>
      <c r="H18" s="317">
        <f>H17/C17</f>
        <v>0.02021917808</v>
      </c>
      <c r="I18" s="291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5.75" customHeight="1">
      <c r="A19" s="143"/>
      <c r="B19" s="282" t="s">
        <v>387</v>
      </c>
      <c r="C19" s="318"/>
      <c r="D19" s="318"/>
      <c r="E19" s="319"/>
      <c r="F19" s="308"/>
      <c r="G19" s="309"/>
      <c r="H19" s="310">
        <f>H18*(365/E17)</f>
        <v>0.082</v>
      </c>
      <c r="I19" s="291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5.75" customHeight="1">
      <c r="A20" s="143"/>
      <c r="B20" s="284"/>
      <c r="C20" s="284"/>
      <c r="D20" s="265"/>
      <c r="E20" s="265"/>
      <c r="F20" s="265"/>
      <c r="G20" s="265"/>
      <c r="H20" s="265"/>
      <c r="I20" s="291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5.75" customHeight="1">
      <c r="A21" s="143"/>
      <c r="B21" s="285" t="s">
        <v>391</v>
      </c>
      <c r="C21" s="286">
        <f>D11-D17</f>
        <v>0.003</v>
      </c>
      <c r="D21" s="287"/>
      <c r="E21" s="288"/>
      <c r="G21" s="288"/>
      <c r="I21" s="291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5.75" customHeight="1">
      <c r="A22" s="143"/>
      <c r="B22" s="285" t="s">
        <v>392</v>
      </c>
      <c r="C22" s="286">
        <f>H13-H19</f>
        <v>0.007675</v>
      </c>
      <c r="D22" s="257"/>
      <c r="E22" s="143"/>
      <c r="F22" s="143"/>
      <c r="G22" s="143"/>
      <c r="H22" s="143"/>
      <c r="I22" s="291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5.75" customHeight="1">
      <c r="A23" s="143"/>
      <c r="B23" s="143"/>
      <c r="C23" s="143"/>
      <c r="D23" s="143"/>
      <c r="E23" s="143"/>
      <c r="F23" s="143"/>
      <c r="G23" s="143"/>
      <c r="H23" s="143"/>
      <c r="I23" s="291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5.75" customHeight="1">
      <c r="A24" s="143"/>
      <c r="B24" s="320" t="s">
        <v>393</v>
      </c>
      <c r="C24" s="320">
        <v>365.0</v>
      </c>
      <c r="D24" s="143"/>
      <c r="E24" s="143"/>
      <c r="F24" s="143"/>
      <c r="G24" s="143"/>
      <c r="H24" s="143"/>
      <c r="I24" s="291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5.75" customHeight="1">
      <c r="A25" s="143"/>
      <c r="B25" s="321" t="s">
        <v>400</v>
      </c>
      <c r="C25" s="143"/>
      <c r="D25" s="143"/>
      <c r="F25" s="143"/>
      <c r="G25" s="143"/>
      <c r="H25" s="143"/>
      <c r="I25" s="291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5.75" customHeight="1">
      <c r="A26" s="143"/>
      <c r="B26" s="143"/>
      <c r="C26" s="143"/>
      <c r="D26" s="143"/>
      <c r="E26" s="143"/>
      <c r="F26" s="143"/>
      <c r="G26" s="143"/>
      <c r="H26" s="143"/>
      <c r="I26" s="291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5.75" customHeight="1">
      <c r="A27" s="143"/>
      <c r="B27" s="143"/>
      <c r="C27" s="143"/>
      <c r="D27" s="143"/>
      <c r="E27" s="143"/>
      <c r="F27" s="143"/>
      <c r="G27" s="143"/>
      <c r="H27" s="143"/>
      <c r="I27" s="291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5.75" customHeight="1">
      <c r="A28" s="143"/>
      <c r="B28" s="133"/>
      <c r="C28" s="322"/>
      <c r="D28" s="143"/>
      <c r="E28" s="143"/>
      <c r="F28" s="143"/>
      <c r="G28" s="143"/>
      <c r="H28" s="143"/>
      <c r="I28" s="291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5.75" customHeight="1">
      <c r="A29" s="143"/>
      <c r="B29" s="133"/>
      <c r="C29" s="323"/>
      <c r="D29" s="143"/>
      <c r="E29" s="143"/>
      <c r="F29" s="143"/>
      <c r="G29" s="143"/>
      <c r="H29" s="143"/>
      <c r="I29" s="291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5.75" customHeight="1">
      <c r="A30" s="143"/>
      <c r="B30" s="143"/>
      <c r="C30" s="143"/>
      <c r="D30" s="143"/>
      <c r="E30" s="143"/>
      <c r="F30" s="143"/>
      <c r="G30" s="143"/>
      <c r="H30" s="143"/>
      <c r="I30" s="291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5.75" customHeight="1">
      <c r="A31" s="143"/>
      <c r="B31" s="143"/>
      <c r="C31" s="143"/>
      <c r="D31" s="143"/>
      <c r="E31" s="143"/>
      <c r="F31" s="143"/>
      <c r="G31" s="143"/>
      <c r="H31" s="143"/>
      <c r="I31" s="291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5.75" customHeight="1">
      <c r="A32" s="143"/>
      <c r="B32" s="143"/>
      <c r="C32" s="143"/>
      <c r="D32" s="143"/>
      <c r="E32" s="143"/>
      <c r="F32" s="143"/>
      <c r="G32" s="143"/>
      <c r="H32" s="143"/>
      <c r="I32" s="291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5.75" customHeight="1">
      <c r="A33" s="143"/>
      <c r="B33" s="143"/>
      <c r="C33" s="143"/>
      <c r="D33" s="143"/>
      <c r="E33" s="143"/>
      <c r="F33" s="143"/>
      <c r="G33" s="143"/>
      <c r="H33" s="143"/>
      <c r="I33" s="291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5.75" customHeight="1">
      <c r="A34" s="143"/>
      <c r="B34" s="143"/>
      <c r="C34" s="143"/>
      <c r="D34" s="143"/>
      <c r="E34" s="143"/>
      <c r="F34" s="143"/>
      <c r="G34" s="143"/>
      <c r="H34" s="143"/>
      <c r="I34" s="291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5.75" customHeight="1">
      <c r="A35" s="143"/>
      <c r="B35" s="143"/>
      <c r="C35" s="143"/>
      <c r="D35" s="143"/>
      <c r="E35" s="143"/>
      <c r="F35" s="143"/>
      <c r="G35" s="143"/>
      <c r="H35" s="143"/>
      <c r="I35" s="291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5.75" customHeight="1">
      <c r="A36" s="143"/>
      <c r="B36" s="143"/>
      <c r="C36" s="143"/>
      <c r="D36" s="143"/>
      <c r="E36" s="143"/>
      <c r="F36" s="143"/>
      <c r="G36" s="143"/>
      <c r="H36" s="143"/>
      <c r="I36" s="291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5.75" customHeight="1">
      <c r="A37" s="143"/>
      <c r="B37" s="143"/>
      <c r="C37" s="143"/>
      <c r="D37" s="143"/>
      <c r="E37" s="143"/>
      <c r="F37" s="143"/>
      <c r="G37" s="143"/>
      <c r="H37" s="143"/>
      <c r="I37" s="291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5.75" customHeight="1">
      <c r="A38" s="143"/>
      <c r="B38" s="143"/>
      <c r="C38" s="143"/>
      <c r="D38" s="143"/>
      <c r="E38" s="143"/>
      <c r="F38" s="143"/>
      <c r="G38" s="143"/>
      <c r="H38" s="143"/>
      <c r="I38" s="291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5.75" customHeight="1">
      <c r="A39" s="143"/>
      <c r="B39" s="143"/>
      <c r="C39" s="143"/>
      <c r="D39" s="143"/>
      <c r="E39" s="143"/>
      <c r="F39" s="143"/>
      <c r="G39" s="143"/>
      <c r="H39" s="143"/>
      <c r="I39" s="291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5.75" customHeight="1">
      <c r="A40" s="143"/>
      <c r="B40" s="143"/>
      <c r="C40" s="143"/>
      <c r="D40" s="143"/>
      <c r="E40" s="143"/>
      <c r="F40" s="143"/>
      <c r="G40" s="143"/>
      <c r="H40" s="143"/>
      <c r="I40" s="291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5.75" customHeight="1">
      <c r="A41" s="143"/>
      <c r="B41" s="143"/>
      <c r="C41" s="143"/>
      <c r="D41" s="143"/>
      <c r="E41" s="143"/>
      <c r="F41" s="143"/>
      <c r="G41" s="143"/>
      <c r="H41" s="143"/>
      <c r="I41" s="291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5.75" customHeight="1">
      <c r="A42" s="143"/>
      <c r="B42" s="143"/>
      <c r="C42" s="143"/>
      <c r="D42" s="143"/>
      <c r="E42" s="143"/>
      <c r="F42" s="143"/>
      <c r="G42" s="143"/>
      <c r="H42" s="143"/>
      <c r="I42" s="291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5.75" customHeight="1">
      <c r="A43" s="143"/>
      <c r="B43" s="143"/>
      <c r="C43" s="143"/>
      <c r="D43" s="143"/>
      <c r="E43" s="143"/>
      <c r="F43" s="143"/>
      <c r="G43" s="143"/>
      <c r="H43" s="143"/>
      <c r="I43" s="291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5.75" customHeight="1">
      <c r="A44" s="143"/>
      <c r="B44" s="143"/>
      <c r="C44" s="143"/>
      <c r="D44" s="143"/>
      <c r="E44" s="143"/>
      <c r="F44" s="143"/>
      <c r="G44" s="143"/>
      <c r="H44" s="143"/>
      <c r="I44" s="291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5.75" customHeight="1">
      <c r="A45" s="143"/>
      <c r="B45" s="143"/>
      <c r="C45" s="143"/>
      <c r="D45" s="143"/>
      <c r="E45" s="143"/>
      <c r="F45" s="143"/>
      <c r="G45" s="143"/>
      <c r="H45" s="143"/>
      <c r="I45" s="291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5.75" customHeight="1">
      <c r="A46" s="143"/>
      <c r="B46" s="143"/>
      <c r="C46" s="143"/>
      <c r="D46" s="143"/>
      <c r="E46" s="143"/>
      <c r="F46" s="143"/>
      <c r="G46" s="143"/>
      <c r="H46" s="143"/>
      <c r="I46" s="291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5.75" customHeight="1">
      <c r="A47" s="143"/>
      <c r="B47" s="143"/>
      <c r="C47" s="143"/>
      <c r="D47" s="143"/>
      <c r="E47" s="143"/>
      <c r="F47" s="143"/>
      <c r="G47" s="143"/>
      <c r="H47" s="143"/>
      <c r="I47" s="291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5.75" customHeight="1">
      <c r="A48" s="143"/>
      <c r="B48" s="143"/>
      <c r="C48" s="143"/>
      <c r="D48" s="143"/>
      <c r="E48" s="143"/>
      <c r="F48" s="143"/>
      <c r="G48" s="143"/>
      <c r="H48" s="143"/>
      <c r="I48" s="291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5.75" customHeight="1">
      <c r="A49" s="143"/>
      <c r="B49" s="143"/>
      <c r="C49" s="143"/>
      <c r="D49" s="143"/>
      <c r="E49" s="143"/>
      <c r="F49" s="143"/>
      <c r="G49" s="143"/>
      <c r="H49" s="143"/>
      <c r="I49" s="291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5.75" customHeight="1">
      <c r="A50" s="143"/>
      <c r="B50" s="143"/>
      <c r="C50" s="143"/>
      <c r="D50" s="143"/>
      <c r="E50" s="143"/>
      <c r="F50" s="143"/>
      <c r="G50" s="143"/>
      <c r="H50" s="143"/>
      <c r="I50" s="291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5.75" customHeight="1">
      <c r="A51" s="143"/>
      <c r="B51" s="143"/>
      <c r="C51" s="143"/>
      <c r="D51" s="143"/>
      <c r="E51" s="143"/>
      <c r="F51" s="143"/>
      <c r="G51" s="143"/>
      <c r="H51" s="143"/>
      <c r="I51" s="291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5.75" customHeight="1">
      <c r="A52" s="143"/>
      <c r="B52" s="143"/>
      <c r="C52" s="143"/>
      <c r="D52" s="143"/>
      <c r="E52" s="143"/>
      <c r="F52" s="143"/>
      <c r="G52" s="143"/>
      <c r="H52" s="143"/>
      <c r="I52" s="291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5.75" customHeight="1">
      <c r="A53" s="143"/>
      <c r="B53" s="143"/>
      <c r="C53" s="143"/>
      <c r="D53" s="143"/>
      <c r="E53" s="143"/>
      <c r="F53" s="143"/>
      <c r="G53" s="143"/>
      <c r="H53" s="143"/>
      <c r="I53" s="291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5.75" customHeight="1">
      <c r="A54" s="143"/>
      <c r="B54" s="143"/>
      <c r="C54" s="143"/>
      <c r="D54" s="143"/>
      <c r="E54" s="143"/>
      <c r="F54" s="143"/>
      <c r="G54" s="143"/>
      <c r="H54" s="143"/>
      <c r="I54" s="291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5.75" customHeight="1">
      <c r="A55" s="143"/>
      <c r="B55" s="143"/>
      <c r="C55" s="143"/>
      <c r="D55" s="143"/>
      <c r="E55" s="143"/>
      <c r="F55" s="143"/>
      <c r="G55" s="143"/>
      <c r="H55" s="143"/>
      <c r="I55" s="291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5.75" customHeight="1">
      <c r="A56" s="143"/>
      <c r="B56" s="143"/>
      <c r="C56" s="143"/>
      <c r="D56" s="143"/>
      <c r="E56" s="143"/>
      <c r="F56" s="143"/>
      <c r="G56" s="143"/>
      <c r="H56" s="143"/>
      <c r="I56" s="291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5.75" customHeight="1">
      <c r="A57" s="143"/>
      <c r="B57" s="143"/>
      <c r="C57" s="143"/>
      <c r="D57" s="143"/>
      <c r="E57" s="143"/>
      <c r="F57" s="143"/>
      <c r="G57" s="143"/>
      <c r="H57" s="143"/>
      <c r="I57" s="291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5.75" customHeight="1">
      <c r="A58" s="143"/>
      <c r="B58" s="143"/>
      <c r="C58" s="143"/>
      <c r="D58" s="143"/>
      <c r="E58" s="143"/>
      <c r="F58" s="143"/>
      <c r="G58" s="143"/>
      <c r="H58" s="143"/>
      <c r="I58" s="291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5.75" customHeight="1">
      <c r="A59" s="143"/>
      <c r="B59" s="143"/>
      <c r="C59" s="143"/>
      <c r="D59" s="143"/>
      <c r="E59" s="143"/>
      <c r="F59" s="143"/>
      <c r="G59" s="143"/>
      <c r="H59" s="143"/>
      <c r="I59" s="291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5.75" customHeight="1">
      <c r="A60" s="143"/>
      <c r="B60" s="143"/>
      <c r="C60" s="143"/>
      <c r="D60" s="143"/>
      <c r="E60" s="143"/>
      <c r="F60" s="143"/>
      <c r="G60" s="143"/>
      <c r="H60" s="143"/>
      <c r="I60" s="291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5.75" customHeight="1">
      <c r="A61" s="143"/>
      <c r="B61" s="143"/>
      <c r="C61" s="143"/>
      <c r="D61" s="143"/>
      <c r="E61" s="143"/>
      <c r="F61" s="143"/>
      <c r="G61" s="143"/>
      <c r="H61" s="143"/>
      <c r="I61" s="291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5.75" customHeight="1">
      <c r="A62" s="143"/>
      <c r="B62" s="143"/>
      <c r="C62" s="143"/>
      <c r="D62" s="143"/>
      <c r="E62" s="143"/>
      <c r="F62" s="143"/>
      <c r="G62" s="143"/>
      <c r="H62" s="143"/>
      <c r="I62" s="291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5.75" customHeight="1">
      <c r="A63" s="143"/>
      <c r="B63" s="143"/>
      <c r="C63" s="143"/>
      <c r="D63" s="143"/>
      <c r="E63" s="143"/>
      <c r="F63" s="143"/>
      <c r="G63" s="143"/>
      <c r="H63" s="143"/>
      <c r="I63" s="291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5.75" customHeight="1">
      <c r="A64" s="143"/>
      <c r="B64" s="143"/>
      <c r="C64" s="143"/>
      <c r="D64" s="143"/>
      <c r="E64" s="143"/>
      <c r="F64" s="143"/>
      <c r="G64" s="143"/>
      <c r="H64" s="143"/>
      <c r="I64" s="291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5.75" customHeight="1">
      <c r="A65" s="143"/>
      <c r="B65" s="143"/>
      <c r="C65" s="143"/>
      <c r="D65" s="143"/>
      <c r="E65" s="143"/>
      <c r="F65" s="143"/>
      <c r="G65" s="143"/>
      <c r="H65" s="143"/>
      <c r="I65" s="291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5.75" customHeight="1">
      <c r="A66" s="143"/>
      <c r="B66" s="143"/>
      <c r="C66" s="143"/>
      <c r="D66" s="143"/>
      <c r="E66" s="143"/>
      <c r="F66" s="143"/>
      <c r="G66" s="143"/>
      <c r="H66" s="143"/>
      <c r="I66" s="291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5.75" customHeight="1">
      <c r="A67" s="143"/>
      <c r="B67" s="143"/>
      <c r="C67" s="143"/>
      <c r="D67" s="143"/>
      <c r="E67" s="143"/>
      <c r="F67" s="143"/>
      <c r="G67" s="143"/>
      <c r="H67" s="143"/>
      <c r="I67" s="291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5.75" customHeight="1">
      <c r="A68" s="143"/>
      <c r="B68" s="143"/>
      <c r="C68" s="143"/>
      <c r="D68" s="143"/>
      <c r="E68" s="143"/>
      <c r="F68" s="143"/>
      <c r="G68" s="143"/>
      <c r="H68" s="143"/>
      <c r="I68" s="291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5.75" customHeight="1">
      <c r="A69" s="143"/>
      <c r="B69" s="143"/>
      <c r="C69" s="143"/>
      <c r="D69" s="143"/>
      <c r="E69" s="143"/>
      <c r="F69" s="143"/>
      <c r="G69" s="143"/>
      <c r="H69" s="143"/>
      <c r="I69" s="291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5.75" customHeight="1">
      <c r="A70" s="143"/>
      <c r="B70" s="143"/>
      <c r="C70" s="143"/>
      <c r="D70" s="143"/>
      <c r="E70" s="143"/>
      <c r="F70" s="143"/>
      <c r="G70" s="143"/>
      <c r="H70" s="143"/>
      <c r="I70" s="291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5.75" customHeight="1">
      <c r="A71" s="143"/>
      <c r="B71" s="143"/>
      <c r="C71" s="143"/>
      <c r="D71" s="143"/>
      <c r="E71" s="143"/>
      <c r="F71" s="143"/>
      <c r="G71" s="143"/>
      <c r="H71" s="143"/>
      <c r="I71" s="291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5.75" customHeight="1">
      <c r="A72" s="143"/>
      <c r="B72" s="143"/>
      <c r="C72" s="143"/>
      <c r="D72" s="143"/>
      <c r="E72" s="143"/>
      <c r="F72" s="143"/>
      <c r="G72" s="143"/>
      <c r="H72" s="143"/>
      <c r="I72" s="29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5.75" customHeight="1">
      <c r="A73" s="143"/>
      <c r="B73" s="143"/>
      <c r="C73" s="143"/>
      <c r="D73" s="143"/>
      <c r="E73" s="143"/>
      <c r="F73" s="143"/>
      <c r="G73" s="143"/>
      <c r="H73" s="143"/>
      <c r="I73" s="29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29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5.75" customHeight="1">
      <c r="A75" s="143"/>
      <c r="B75" s="143"/>
      <c r="C75" s="143"/>
      <c r="D75" s="143"/>
      <c r="E75" s="143"/>
      <c r="F75" s="143"/>
      <c r="G75" s="143"/>
      <c r="H75" s="143"/>
      <c r="I75" s="29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5.75" customHeight="1">
      <c r="A76" s="143"/>
      <c r="B76" s="143"/>
      <c r="C76" s="143"/>
      <c r="D76" s="143"/>
      <c r="E76" s="143"/>
      <c r="F76" s="143"/>
      <c r="G76" s="143"/>
      <c r="H76" s="143"/>
      <c r="I76" s="29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5.75" customHeight="1">
      <c r="A77" s="143"/>
      <c r="B77" s="143"/>
      <c r="C77" s="143"/>
      <c r="D77" s="143"/>
      <c r="E77" s="143"/>
      <c r="F77" s="143"/>
      <c r="G77" s="143"/>
      <c r="H77" s="143"/>
      <c r="I77" s="291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291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291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291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291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291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291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291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291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291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291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291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291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291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291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291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291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291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291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291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291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291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291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291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291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291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291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291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291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291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291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291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291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291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291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291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291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291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291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291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291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291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291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291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291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291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291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291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291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291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291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291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291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291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291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291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291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291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291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291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291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291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291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291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291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291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291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291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291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291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291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291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291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291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291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291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291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291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291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291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291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291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291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291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291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291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291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291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291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291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291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291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291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291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291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291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291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291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291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291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291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291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291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291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291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291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291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291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291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291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291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291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291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291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291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291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291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291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291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291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291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291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291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291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291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291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291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291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291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291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291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291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291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291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291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291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291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291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291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291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291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291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291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291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291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291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291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5.75" customHeight="1">
      <c r="A224" s="143"/>
      <c r="B224" s="143"/>
      <c r="C224" s="143"/>
      <c r="D224" s="143"/>
      <c r="E224" s="143"/>
      <c r="F224" s="143"/>
      <c r="G224" s="143"/>
      <c r="H224" s="143"/>
      <c r="I224" s="291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5.75" customHeight="1">
      <c r="A225" s="143"/>
      <c r="B225" s="143"/>
      <c r="C225" s="143"/>
      <c r="D225" s="143"/>
      <c r="E225" s="143"/>
      <c r="F225" s="143"/>
      <c r="G225" s="143"/>
      <c r="H225" s="143"/>
      <c r="I225" s="291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headerFooter>
    <oddFooter>&amp;RGenerated by Treasury Financial Planning | Internal Use Only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1.75"/>
    <col customWidth="1" min="3" max="3" width="16.5"/>
    <col customWidth="1" min="4" max="4" width="7.75"/>
    <col customWidth="1" min="5" max="5" width="5.25"/>
    <col customWidth="1" min="6" max="6" width="7.25"/>
    <col customWidth="1" min="7" max="7" width="5.88"/>
    <col customWidth="1" min="8" max="8" width="17.75"/>
    <col customWidth="1" min="9" max="9" width="3.5"/>
    <col customWidth="1" min="10" max="10" width="23.5"/>
    <col customWidth="1" min="11" max="11" width="16.5"/>
    <col customWidth="1" min="12" max="12" width="7.75"/>
    <col customWidth="1" min="13" max="13" width="7.0"/>
    <col customWidth="1" min="14" max="14" width="7.25"/>
    <col customWidth="1" min="15" max="15" width="6.0"/>
    <col customWidth="1" min="16" max="16" width="17.5"/>
    <col customWidth="1" min="17" max="26" width="12.5"/>
  </cols>
  <sheetData>
    <row r="1" ht="15.75" customHeight="1">
      <c r="A1" s="143"/>
      <c r="B1" s="143"/>
      <c r="C1" s="143"/>
      <c r="D1" s="143"/>
      <c r="F1" s="143"/>
      <c r="G1" s="143"/>
      <c r="H1" s="143"/>
      <c r="I1" s="291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5.75" customHeight="1">
      <c r="A2" s="143"/>
      <c r="B2" s="143"/>
      <c r="C2" s="143"/>
      <c r="D2" s="143"/>
      <c r="E2" s="143"/>
      <c r="F2" s="143"/>
      <c r="G2" s="143"/>
      <c r="H2" s="143"/>
      <c r="I2" s="291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5.75" customHeight="1">
      <c r="A3" s="143"/>
      <c r="B3" s="143"/>
      <c r="C3" s="143"/>
      <c r="D3" s="143"/>
      <c r="E3" s="143"/>
      <c r="F3" s="143"/>
      <c r="G3" s="143"/>
      <c r="H3" s="143"/>
      <c r="I3" s="291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5.75" customHeight="1">
      <c r="A4" s="143"/>
      <c r="B4" s="133" t="s">
        <v>377</v>
      </c>
      <c r="C4" s="143"/>
      <c r="D4" s="143"/>
      <c r="E4" s="143"/>
      <c r="F4" s="143"/>
      <c r="G4" s="143"/>
      <c r="H4" s="143"/>
      <c r="I4" s="324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5.75" customHeight="1">
      <c r="A5" s="143"/>
      <c r="B5" s="133" t="s">
        <v>378</v>
      </c>
      <c r="C5" s="143"/>
      <c r="D5" s="143"/>
      <c r="E5" s="143"/>
      <c r="G5" s="254" t="s">
        <v>379</v>
      </c>
      <c r="H5" s="292">
        <f>TODAY()</f>
        <v>46109</v>
      </c>
      <c r="I5" s="324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5.75" customHeight="1">
      <c r="A6" s="143"/>
      <c r="C6" s="143"/>
      <c r="D6" s="143"/>
      <c r="E6" s="143"/>
      <c r="F6" s="143"/>
      <c r="G6" s="143"/>
      <c r="H6" s="143"/>
      <c r="I6" s="324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5.75" customHeight="1">
      <c r="A7" s="256"/>
      <c r="B7" s="133" t="s">
        <v>380</v>
      </c>
      <c r="C7" s="143"/>
      <c r="D7" s="143"/>
      <c r="E7" s="143"/>
      <c r="F7" s="143"/>
      <c r="G7" s="143"/>
      <c r="H7" s="143"/>
      <c r="I7" s="324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5.75" customHeight="1">
      <c r="A8" s="256"/>
      <c r="B8" s="258" t="s">
        <v>401</v>
      </c>
      <c r="C8" s="259"/>
      <c r="D8" s="259"/>
      <c r="E8" s="259"/>
      <c r="F8" s="259"/>
      <c r="G8" s="260"/>
      <c r="H8" s="259"/>
      <c r="I8" s="324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5.75" customHeight="1">
      <c r="A9" s="256"/>
      <c r="B9" s="293"/>
      <c r="C9" s="294" t="s">
        <v>395</v>
      </c>
      <c r="D9" s="295" t="s">
        <v>51</v>
      </c>
      <c r="E9" s="295" t="s">
        <v>197</v>
      </c>
      <c r="F9" s="294" t="s">
        <v>396</v>
      </c>
      <c r="G9" s="294" t="s">
        <v>397</v>
      </c>
      <c r="H9" s="296" t="s">
        <v>398</v>
      </c>
      <c r="I9" s="324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34.5" customHeight="1">
      <c r="A10" s="256"/>
      <c r="B10" s="325" t="s">
        <v>402</v>
      </c>
      <c r="C10" s="298">
        <v>1000.0</v>
      </c>
      <c r="D10" s="299">
        <v>0.105</v>
      </c>
      <c r="E10" s="300">
        <v>30.0</v>
      </c>
      <c r="F10" s="301">
        <f>C10*(D10*E10/C23)</f>
        <v>8.630136986</v>
      </c>
      <c r="G10" s="301">
        <f>F10*20%</f>
        <v>1.726027397</v>
      </c>
      <c r="H10" s="302">
        <f>F10-G10</f>
        <v>6.904109589</v>
      </c>
      <c r="I10" s="324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5.75" customHeight="1">
      <c r="A11" s="143"/>
      <c r="B11" s="326"/>
      <c r="C11" s="327"/>
      <c r="D11" s="327"/>
      <c r="E11" s="327"/>
      <c r="F11" s="316">
        <f>F10/C10</f>
        <v>0.008630136986</v>
      </c>
      <c r="G11" s="316"/>
      <c r="H11" s="317">
        <f>H10/C10</f>
        <v>0.006904109589</v>
      </c>
      <c r="I11" s="324"/>
      <c r="J11" s="143"/>
      <c r="K11" s="290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5.75" customHeight="1">
      <c r="A12" s="256"/>
      <c r="B12" s="261" t="s">
        <v>387</v>
      </c>
      <c r="C12" s="306"/>
      <c r="D12" s="306"/>
      <c r="E12" s="307"/>
      <c r="F12" s="308"/>
      <c r="G12" s="309"/>
      <c r="H12" s="310">
        <f>H11*(365/E10)</f>
        <v>0.084</v>
      </c>
      <c r="I12" s="324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5.75" customHeight="1">
      <c r="A13" s="256"/>
      <c r="B13" s="265"/>
      <c r="C13" s="265"/>
      <c r="D13" s="265"/>
      <c r="E13" s="265"/>
      <c r="F13" s="265"/>
      <c r="G13" s="265"/>
      <c r="H13" s="265"/>
      <c r="I13" s="324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5.75" customHeight="1">
      <c r="A14" s="256"/>
      <c r="B14" s="258" t="s">
        <v>388</v>
      </c>
      <c r="C14" s="259"/>
      <c r="D14" s="259"/>
      <c r="E14" s="259"/>
      <c r="F14" s="276"/>
      <c r="G14" s="259"/>
      <c r="H14" s="259"/>
      <c r="I14" s="324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5.75" customHeight="1">
      <c r="A15" s="256"/>
      <c r="B15" s="311"/>
      <c r="C15" s="294" t="s">
        <v>395</v>
      </c>
      <c r="D15" s="294" t="s">
        <v>51</v>
      </c>
      <c r="E15" s="294" t="s">
        <v>197</v>
      </c>
      <c r="F15" s="294" t="s">
        <v>396</v>
      </c>
      <c r="G15" s="294" t="s">
        <v>397</v>
      </c>
      <c r="H15" s="296" t="s">
        <v>398</v>
      </c>
      <c r="I15" s="324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5.75" customHeight="1">
      <c r="A16" s="256"/>
      <c r="B16" s="277" t="s">
        <v>390</v>
      </c>
      <c r="C16" s="328">
        <v>1000.0</v>
      </c>
      <c r="D16" s="329">
        <v>0.1025</v>
      </c>
      <c r="E16" s="330">
        <v>30.0</v>
      </c>
      <c r="F16" s="331">
        <f>C16*(D16*E16/C23)</f>
        <v>8.424657534</v>
      </c>
      <c r="G16" s="331">
        <f>F16*20%</f>
        <v>1.684931507</v>
      </c>
      <c r="H16" s="332">
        <f>F16-G16</f>
        <v>6.739726027</v>
      </c>
      <c r="I16" s="324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5.75" customHeight="1">
      <c r="A17" s="143"/>
      <c r="B17" s="326"/>
      <c r="C17" s="327"/>
      <c r="D17" s="327"/>
      <c r="E17" s="327"/>
      <c r="F17" s="316">
        <f>F16/C16</f>
        <v>0.008424657534</v>
      </c>
      <c r="G17" s="316"/>
      <c r="H17" s="317">
        <f>H16/C16</f>
        <v>0.006739726027</v>
      </c>
      <c r="I17" s="324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5.75" customHeight="1">
      <c r="A18" s="256"/>
      <c r="B18" s="282" t="s">
        <v>387</v>
      </c>
      <c r="C18" s="318"/>
      <c r="D18" s="318"/>
      <c r="E18" s="319"/>
      <c r="F18" s="308"/>
      <c r="G18" s="309"/>
      <c r="H18" s="310">
        <f>H17*(365/E16)</f>
        <v>0.082</v>
      </c>
      <c r="I18" s="324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5.75" customHeight="1">
      <c r="A19" s="256"/>
      <c r="B19" s="284"/>
      <c r="C19" s="284"/>
      <c r="D19" s="265"/>
      <c r="E19" s="265"/>
      <c r="F19" s="265"/>
      <c r="G19" s="265"/>
      <c r="H19" s="265"/>
      <c r="I19" s="324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5.75" customHeight="1">
      <c r="A20" s="143"/>
      <c r="B20" s="285" t="s">
        <v>391</v>
      </c>
      <c r="C20" s="286">
        <f>D10-D16</f>
        <v>0.0025</v>
      </c>
      <c r="D20" s="287"/>
      <c r="E20" s="288"/>
      <c r="G20" s="288"/>
      <c r="I20" s="324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5.75" customHeight="1">
      <c r="A21" s="143"/>
      <c r="B21" s="285" t="s">
        <v>392</v>
      </c>
      <c r="C21" s="286">
        <f>H12-H18</f>
        <v>0.002</v>
      </c>
      <c r="D21" s="257"/>
      <c r="E21" s="143"/>
      <c r="F21" s="143"/>
      <c r="G21" s="143"/>
      <c r="H21" s="143"/>
      <c r="I21" s="324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5.75" customHeight="1">
      <c r="A22" s="143"/>
      <c r="B22" s="143"/>
      <c r="C22" s="143"/>
      <c r="D22" s="143"/>
      <c r="E22" s="143"/>
      <c r="F22" s="143"/>
      <c r="G22" s="143"/>
      <c r="H22" s="143"/>
      <c r="I22" s="324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5.75" customHeight="1">
      <c r="A23" s="143"/>
      <c r="B23" s="320" t="s">
        <v>393</v>
      </c>
      <c r="C23" s="320">
        <v>365.0</v>
      </c>
      <c r="D23" s="143"/>
      <c r="E23" s="143"/>
      <c r="F23" s="143"/>
      <c r="G23" s="143"/>
      <c r="H23" s="143"/>
      <c r="I23" s="324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5.75" customHeight="1">
      <c r="A24" s="143"/>
      <c r="B24" s="321" t="s">
        <v>400</v>
      </c>
      <c r="C24" s="143"/>
      <c r="D24" s="143"/>
      <c r="F24" s="143"/>
      <c r="G24" s="143"/>
      <c r="H24" s="143"/>
      <c r="I24" s="324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5.75" customHeight="1">
      <c r="A25" s="143"/>
      <c r="B25" s="143"/>
      <c r="C25" s="143"/>
      <c r="D25" s="143"/>
      <c r="E25" s="143"/>
      <c r="F25" s="143"/>
      <c r="G25" s="143"/>
      <c r="H25" s="143"/>
      <c r="I25" s="291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5.75" customHeight="1">
      <c r="A26" s="143"/>
      <c r="B26" s="143"/>
      <c r="C26" s="143"/>
      <c r="D26" s="143"/>
      <c r="E26" s="143"/>
      <c r="F26" s="143"/>
      <c r="G26" s="290"/>
      <c r="H26" s="143"/>
      <c r="I26" s="291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5.75" customHeight="1">
      <c r="A27" s="143"/>
      <c r="B27" s="143"/>
      <c r="C27" s="143"/>
      <c r="D27" s="143"/>
      <c r="E27" s="143"/>
      <c r="F27" s="143"/>
      <c r="G27" s="143"/>
      <c r="H27" s="143"/>
      <c r="I27" s="291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5.75" customHeight="1">
      <c r="A28" s="143"/>
      <c r="B28" s="143"/>
      <c r="C28" s="143"/>
      <c r="D28" s="143"/>
      <c r="E28" s="143"/>
      <c r="F28" s="143"/>
      <c r="G28" s="143"/>
      <c r="H28" s="143"/>
      <c r="I28" s="291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5.75" customHeight="1">
      <c r="A29" s="143"/>
      <c r="B29" s="143"/>
      <c r="C29" s="143"/>
      <c r="D29" s="143"/>
      <c r="E29" s="143"/>
      <c r="F29" s="143"/>
      <c r="G29" s="143"/>
      <c r="H29" s="143"/>
      <c r="I29" s="291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5.75" customHeight="1">
      <c r="A30" s="143"/>
      <c r="B30" s="143"/>
      <c r="C30" s="143"/>
      <c r="D30" s="143"/>
      <c r="E30" s="143"/>
      <c r="F30" s="143"/>
      <c r="G30" s="143"/>
      <c r="H30" s="143"/>
      <c r="I30" s="291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5.75" customHeight="1">
      <c r="A31" s="143"/>
      <c r="B31" s="143"/>
      <c r="C31" s="143"/>
      <c r="D31" s="143"/>
      <c r="E31" s="143"/>
      <c r="F31" s="143"/>
      <c r="G31" s="143"/>
      <c r="H31" s="143"/>
      <c r="I31" s="291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5.75" customHeight="1">
      <c r="A32" s="143"/>
      <c r="B32" s="143"/>
      <c r="C32" s="143"/>
      <c r="D32" s="143"/>
      <c r="E32" s="143"/>
      <c r="F32" s="143"/>
      <c r="G32" s="143"/>
      <c r="H32" s="143"/>
      <c r="I32" s="291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5.75" customHeight="1">
      <c r="A33" s="143"/>
      <c r="B33" s="143"/>
      <c r="C33" s="143"/>
      <c r="D33" s="143"/>
      <c r="E33" s="143"/>
      <c r="F33" s="143"/>
      <c r="G33" s="143"/>
      <c r="H33" s="143"/>
      <c r="I33" s="291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5.75" customHeight="1">
      <c r="A34" s="143"/>
      <c r="B34" s="143"/>
      <c r="C34" s="143"/>
      <c r="D34" s="143"/>
      <c r="E34" s="143"/>
      <c r="F34" s="143"/>
      <c r="G34" s="143"/>
      <c r="H34" s="143"/>
      <c r="I34" s="291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5.75" customHeight="1">
      <c r="A35" s="143"/>
      <c r="B35" s="143"/>
      <c r="C35" s="143"/>
      <c r="D35" s="143"/>
      <c r="E35" s="143"/>
      <c r="F35" s="143"/>
      <c r="G35" s="143"/>
      <c r="H35" s="143"/>
      <c r="I35" s="291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5.75" customHeight="1">
      <c r="A36" s="143"/>
      <c r="B36" s="143"/>
      <c r="C36" s="143"/>
      <c r="D36" s="143"/>
      <c r="E36" s="143"/>
      <c r="F36" s="143"/>
      <c r="G36" s="143"/>
      <c r="H36" s="143"/>
      <c r="I36" s="291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5.75" customHeight="1">
      <c r="A37" s="143"/>
      <c r="B37" s="143"/>
      <c r="C37" s="143"/>
      <c r="D37" s="143"/>
      <c r="E37" s="143"/>
      <c r="F37" s="143"/>
      <c r="G37" s="143"/>
      <c r="H37" s="143"/>
      <c r="I37" s="291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5.75" customHeight="1">
      <c r="A38" s="143"/>
      <c r="B38" s="143"/>
      <c r="C38" s="143"/>
      <c r="D38" s="143"/>
      <c r="E38" s="143"/>
      <c r="F38" s="143"/>
      <c r="G38" s="143"/>
      <c r="H38" s="143"/>
      <c r="I38" s="291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5.75" customHeight="1">
      <c r="A39" s="143"/>
      <c r="B39" s="143"/>
      <c r="C39" s="143"/>
      <c r="D39" s="143"/>
      <c r="E39" s="143"/>
      <c r="F39" s="143"/>
      <c r="G39" s="143"/>
      <c r="H39" s="143"/>
      <c r="I39" s="291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5.75" customHeight="1">
      <c r="A40" s="143"/>
      <c r="B40" s="143"/>
      <c r="C40" s="143"/>
      <c r="D40" s="143"/>
      <c r="E40" s="143"/>
      <c r="F40" s="143"/>
      <c r="G40" s="143"/>
      <c r="H40" s="143"/>
      <c r="I40" s="291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5.75" customHeight="1">
      <c r="A41" s="143"/>
      <c r="B41" s="143"/>
      <c r="C41" s="143"/>
      <c r="D41" s="143"/>
      <c r="E41" s="143"/>
      <c r="F41" s="143"/>
      <c r="G41" s="143"/>
      <c r="H41" s="143"/>
      <c r="I41" s="291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5.75" customHeight="1">
      <c r="A42" s="143"/>
      <c r="B42" s="143"/>
      <c r="C42" s="143"/>
      <c r="D42" s="143"/>
      <c r="E42" s="143"/>
      <c r="F42" s="143"/>
      <c r="G42" s="143"/>
      <c r="H42" s="143"/>
      <c r="I42" s="291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5.75" customHeight="1">
      <c r="A43" s="143"/>
      <c r="B43" s="143"/>
      <c r="C43" s="143"/>
      <c r="D43" s="143"/>
      <c r="E43" s="143"/>
      <c r="F43" s="143"/>
      <c r="G43" s="143"/>
      <c r="H43" s="143"/>
      <c r="I43" s="291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5.75" customHeight="1">
      <c r="A44" s="143"/>
      <c r="B44" s="143"/>
      <c r="C44" s="143"/>
      <c r="D44" s="143"/>
      <c r="E44" s="143"/>
      <c r="F44" s="143"/>
      <c r="G44" s="143"/>
      <c r="H44" s="143"/>
      <c r="I44" s="291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5.75" customHeight="1">
      <c r="A45" s="143"/>
      <c r="B45" s="143"/>
      <c r="C45" s="143"/>
      <c r="D45" s="143"/>
      <c r="E45" s="143"/>
      <c r="F45" s="143"/>
      <c r="G45" s="143"/>
      <c r="H45" s="143"/>
      <c r="I45" s="291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5.75" customHeight="1">
      <c r="A46" s="143"/>
      <c r="B46" s="143"/>
      <c r="C46" s="143"/>
      <c r="D46" s="143"/>
      <c r="E46" s="143"/>
      <c r="F46" s="143"/>
      <c r="G46" s="143"/>
      <c r="H46" s="143"/>
      <c r="I46" s="291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5.75" customHeight="1">
      <c r="A47" s="143"/>
      <c r="B47" s="143"/>
      <c r="C47" s="143"/>
      <c r="D47" s="143"/>
      <c r="E47" s="143"/>
      <c r="F47" s="143"/>
      <c r="G47" s="143"/>
      <c r="H47" s="143"/>
      <c r="I47" s="291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5.75" customHeight="1">
      <c r="A48" s="143"/>
      <c r="B48" s="143"/>
      <c r="C48" s="143"/>
      <c r="D48" s="143"/>
      <c r="E48" s="143"/>
      <c r="F48" s="143"/>
      <c r="G48" s="143"/>
      <c r="H48" s="143"/>
      <c r="I48" s="291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5.75" customHeight="1">
      <c r="A49" s="143"/>
      <c r="B49" s="143"/>
      <c r="C49" s="143"/>
      <c r="D49" s="143"/>
      <c r="E49" s="143"/>
      <c r="F49" s="143"/>
      <c r="G49" s="143"/>
      <c r="H49" s="143"/>
      <c r="I49" s="291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5.75" customHeight="1">
      <c r="A50" s="143"/>
      <c r="B50" s="143"/>
      <c r="C50" s="143"/>
      <c r="D50" s="143"/>
      <c r="E50" s="143"/>
      <c r="F50" s="143"/>
      <c r="G50" s="143"/>
      <c r="H50" s="143"/>
      <c r="I50" s="291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5.75" customHeight="1">
      <c r="A51" s="143"/>
      <c r="B51" s="143"/>
      <c r="C51" s="143"/>
      <c r="D51" s="143"/>
      <c r="E51" s="143"/>
      <c r="F51" s="143"/>
      <c r="G51" s="143"/>
      <c r="H51" s="143"/>
      <c r="I51" s="291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5.75" customHeight="1">
      <c r="A52" s="143"/>
      <c r="B52" s="133" t="s">
        <v>377</v>
      </c>
      <c r="C52" s="143"/>
      <c r="D52" s="143"/>
      <c r="E52" s="143"/>
      <c r="F52" s="143"/>
      <c r="G52" s="143"/>
      <c r="H52" s="143"/>
      <c r="I52" s="291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5.75" customHeight="1">
      <c r="A53" s="143"/>
      <c r="B53" s="133" t="s">
        <v>378</v>
      </c>
      <c r="C53" s="143"/>
      <c r="D53" s="143"/>
      <c r="E53" s="143"/>
      <c r="G53" s="254" t="s">
        <v>379</v>
      </c>
      <c r="H53" s="292">
        <f>TODAY()</f>
        <v>46109</v>
      </c>
      <c r="I53" s="291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5.75" customHeight="1">
      <c r="A54" s="143"/>
      <c r="B54" s="143"/>
      <c r="C54" s="143"/>
      <c r="D54" s="143"/>
      <c r="E54" s="143"/>
      <c r="F54" s="143"/>
      <c r="G54" s="143"/>
      <c r="H54" s="143"/>
      <c r="I54" s="291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5.75" customHeight="1">
      <c r="A55" s="143"/>
      <c r="B55" s="133" t="s">
        <v>380</v>
      </c>
      <c r="C55" s="143"/>
      <c r="D55" s="143"/>
      <c r="E55" s="143"/>
      <c r="F55" s="143"/>
      <c r="G55" s="143"/>
      <c r="H55" s="143"/>
      <c r="I55" s="291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5.75" customHeight="1">
      <c r="A56" s="143"/>
      <c r="B56" s="258" t="s">
        <v>394</v>
      </c>
      <c r="C56" s="259"/>
      <c r="D56" s="259"/>
      <c r="E56" s="259"/>
      <c r="F56" s="259"/>
      <c r="G56" s="260"/>
      <c r="H56" s="259"/>
      <c r="I56" s="291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5.75" customHeight="1">
      <c r="A57" s="143"/>
      <c r="B57" s="293"/>
      <c r="C57" s="294" t="s">
        <v>395</v>
      </c>
      <c r="D57" s="295" t="s">
        <v>51</v>
      </c>
      <c r="E57" s="295" t="s">
        <v>197</v>
      </c>
      <c r="F57" s="294" t="s">
        <v>396</v>
      </c>
      <c r="G57" s="294" t="s">
        <v>397</v>
      </c>
      <c r="H57" s="296" t="s">
        <v>398</v>
      </c>
      <c r="I57" s="291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5.75" customHeight="1">
      <c r="A58" s="143"/>
      <c r="B58" s="297" t="s">
        <v>399</v>
      </c>
      <c r="C58" s="298">
        <v>1238.0</v>
      </c>
      <c r="D58" s="299">
        <v>0.1055</v>
      </c>
      <c r="E58" s="300">
        <v>90.0</v>
      </c>
      <c r="F58" s="301">
        <f>C58*(D58*E58/C71)</f>
        <v>32.2049589</v>
      </c>
      <c r="G58" s="301">
        <f>F58*15%</f>
        <v>4.830743836</v>
      </c>
      <c r="H58" s="302">
        <f>F58-G58</f>
        <v>27.37421507</v>
      </c>
      <c r="I58" s="291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5.75" customHeight="1">
      <c r="A59" s="143"/>
      <c r="B59" s="269"/>
      <c r="C59" s="303"/>
      <c r="D59" s="303"/>
      <c r="E59" s="303"/>
      <c r="F59" s="304">
        <f>F58/C58</f>
        <v>0.02601369863</v>
      </c>
      <c r="G59" s="304"/>
      <c r="H59" s="305">
        <f>H58/C58</f>
        <v>0.02211164384</v>
      </c>
      <c r="I59" s="291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5.75" customHeight="1">
      <c r="A60" s="143"/>
      <c r="B60" s="261" t="s">
        <v>387</v>
      </c>
      <c r="C60" s="306"/>
      <c r="D60" s="306"/>
      <c r="E60" s="307"/>
      <c r="F60" s="308"/>
      <c r="G60" s="309"/>
      <c r="H60" s="310">
        <f>H59*(365/E58)</f>
        <v>0.089675</v>
      </c>
      <c r="I60" s="291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5.75" customHeight="1">
      <c r="A61" s="143"/>
      <c r="B61" s="265"/>
      <c r="C61" s="265"/>
      <c r="D61" s="265"/>
      <c r="E61" s="265"/>
      <c r="F61" s="265"/>
      <c r="G61" s="265"/>
      <c r="H61" s="265"/>
      <c r="I61" s="291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5.75" customHeight="1">
      <c r="A62" s="143"/>
      <c r="B62" s="258" t="s">
        <v>388</v>
      </c>
      <c r="C62" s="259"/>
      <c r="D62" s="259"/>
      <c r="E62" s="259"/>
      <c r="F62" s="276"/>
      <c r="G62" s="259"/>
      <c r="H62" s="259"/>
      <c r="I62" s="291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5.75" customHeight="1">
      <c r="A63" s="143"/>
      <c r="B63" s="311"/>
      <c r="C63" s="294" t="s">
        <v>395</v>
      </c>
      <c r="D63" s="294" t="s">
        <v>51</v>
      </c>
      <c r="E63" s="294" t="s">
        <v>197</v>
      </c>
      <c r="F63" s="294" t="s">
        <v>396</v>
      </c>
      <c r="G63" s="294" t="s">
        <v>397</v>
      </c>
      <c r="H63" s="296" t="s">
        <v>398</v>
      </c>
      <c r="I63" s="291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5.75" customHeight="1">
      <c r="A64" s="143"/>
      <c r="B64" s="277" t="s">
        <v>390</v>
      </c>
      <c r="C64" s="298">
        <f>C58</f>
        <v>1238</v>
      </c>
      <c r="D64" s="312">
        <v>0.1025</v>
      </c>
      <c r="E64" s="313">
        <v>90.0</v>
      </c>
      <c r="F64" s="314">
        <f>C64*(D64*E64/C71)</f>
        <v>31.28917808</v>
      </c>
      <c r="G64" s="314">
        <f>F64*20%</f>
        <v>6.257835616</v>
      </c>
      <c r="H64" s="315">
        <f>F64-G64</f>
        <v>25.03134247</v>
      </c>
      <c r="I64" s="291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5.75" customHeight="1">
      <c r="A65" s="143"/>
      <c r="B65" s="269"/>
      <c r="C65" s="303"/>
      <c r="D65" s="303"/>
      <c r="E65" s="303"/>
      <c r="F65" s="316">
        <f>F64/C64</f>
        <v>0.0252739726</v>
      </c>
      <c r="G65" s="316"/>
      <c r="H65" s="317">
        <f>H64/C64</f>
        <v>0.02021917808</v>
      </c>
      <c r="I65" s="291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5.75" customHeight="1">
      <c r="A66" s="143"/>
      <c r="B66" s="282" t="s">
        <v>387</v>
      </c>
      <c r="C66" s="318"/>
      <c r="D66" s="318"/>
      <c r="E66" s="319"/>
      <c r="F66" s="308"/>
      <c r="G66" s="309"/>
      <c r="H66" s="310">
        <f>H65*(365/E64)</f>
        <v>0.082</v>
      </c>
      <c r="I66" s="291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5.75" customHeight="1">
      <c r="A67" s="143"/>
      <c r="B67" s="284"/>
      <c r="C67" s="284"/>
      <c r="D67" s="265"/>
      <c r="E67" s="265"/>
      <c r="F67" s="265"/>
      <c r="G67" s="265"/>
      <c r="H67" s="265"/>
      <c r="I67" s="291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5.75" customHeight="1">
      <c r="A68" s="143"/>
      <c r="B68" s="285" t="s">
        <v>391</v>
      </c>
      <c r="C68" s="286">
        <f>D58-D64</f>
        <v>0.003</v>
      </c>
      <c r="D68" s="287"/>
      <c r="E68" s="288"/>
      <c r="G68" s="288"/>
      <c r="I68" s="291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5.75" customHeight="1">
      <c r="A69" s="143"/>
      <c r="B69" s="285" t="s">
        <v>392</v>
      </c>
      <c r="C69" s="286">
        <f>H60-H66</f>
        <v>0.007675</v>
      </c>
      <c r="D69" s="257"/>
      <c r="E69" s="143"/>
      <c r="F69" s="143"/>
      <c r="G69" s="143"/>
      <c r="H69" s="143"/>
      <c r="I69" s="291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5.75" customHeight="1">
      <c r="A70" s="143"/>
      <c r="B70" s="143"/>
      <c r="C70" s="143"/>
      <c r="D70" s="143"/>
      <c r="E70" s="143"/>
      <c r="F70" s="143"/>
      <c r="G70" s="143"/>
      <c r="H70" s="143"/>
      <c r="I70" s="291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5.75" customHeight="1">
      <c r="A71" s="143"/>
      <c r="B71" s="320" t="s">
        <v>393</v>
      </c>
      <c r="C71" s="320">
        <v>365.0</v>
      </c>
      <c r="D71" s="143"/>
      <c r="E71" s="143"/>
      <c r="F71" s="143"/>
      <c r="G71" s="143"/>
      <c r="H71" s="143"/>
      <c r="I71" s="291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5.75" customHeight="1">
      <c r="A72" s="143"/>
      <c r="B72" s="321" t="s">
        <v>400</v>
      </c>
      <c r="C72" s="143"/>
      <c r="D72" s="143"/>
      <c r="F72" s="143"/>
      <c r="G72" s="143"/>
      <c r="H72" s="143"/>
      <c r="I72" s="29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5.75" customHeight="1">
      <c r="A73" s="143"/>
      <c r="B73" s="143"/>
      <c r="C73" s="143"/>
      <c r="D73" s="143"/>
      <c r="E73" s="143"/>
      <c r="F73" s="143"/>
      <c r="G73" s="143"/>
      <c r="H73" s="143"/>
      <c r="I73" s="29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29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5.75" customHeight="1">
      <c r="A75" s="143"/>
      <c r="B75" s="133"/>
      <c r="C75" s="322"/>
      <c r="D75" s="143"/>
      <c r="E75" s="143"/>
      <c r="F75" s="143"/>
      <c r="G75" s="143"/>
      <c r="H75" s="143"/>
      <c r="I75" s="29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5.75" customHeight="1">
      <c r="A76" s="143"/>
      <c r="B76" s="133"/>
      <c r="C76" s="323"/>
      <c r="D76" s="143"/>
      <c r="E76" s="143"/>
      <c r="F76" s="143"/>
      <c r="G76" s="143"/>
      <c r="H76" s="143"/>
      <c r="I76" s="29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5.75" customHeight="1">
      <c r="A77" s="143"/>
      <c r="B77" s="143"/>
      <c r="C77" s="143"/>
      <c r="D77" s="143"/>
      <c r="E77" s="143"/>
      <c r="F77" s="143"/>
      <c r="G77" s="143"/>
      <c r="H77" s="143"/>
      <c r="I77" s="291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291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291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291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291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291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291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291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291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291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291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291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291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291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291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291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291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291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291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291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291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291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291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291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291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291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291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291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291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291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291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291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291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291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291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291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291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291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291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291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291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291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291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291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291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291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291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291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291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291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291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291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291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291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291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291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291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291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291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291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291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291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291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291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291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291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291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291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291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291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291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291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291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291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291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291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291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291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291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291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291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291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291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291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291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291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291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291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291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291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291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291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291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291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291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291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291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291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291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291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291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291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291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291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291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291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291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291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291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291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291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291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291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291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291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291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291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291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291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291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291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291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291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291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291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291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291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291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291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291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291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291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291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291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291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291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291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291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291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291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291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291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291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291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291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291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291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5.75" customHeight="1">
      <c r="A224" s="143"/>
      <c r="B224" s="143"/>
      <c r="C224" s="143"/>
      <c r="D224" s="143"/>
      <c r="E224" s="143"/>
      <c r="F224" s="143"/>
      <c r="G224" s="143"/>
      <c r="H224" s="143"/>
      <c r="I224" s="291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5.75" customHeight="1">
      <c r="A225" s="143"/>
      <c r="B225" s="143"/>
      <c r="C225" s="143"/>
      <c r="D225" s="143"/>
      <c r="E225" s="143"/>
      <c r="F225" s="143"/>
      <c r="G225" s="143"/>
      <c r="H225" s="143"/>
      <c r="I225" s="291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5.75" customHeight="1">
      <c r="A226" s="143"/>
      <c r="B226" s="143"/>
      <c r="C226" s="143"/>
      <c r="D226" s="143"/>
      <c r="E226" s="143"/>
      <c r="F226" s="143"/>
      <c r="G226" s="143"/>
      <c r="H226" s="143"/>
      <c r="I226" s="291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5.75" customHeight="1">
      <c r="A227" s="143"/>
      <c r="B227" s="143"/>
      <c r="C227" s="143"/>
      <c r="D227" s="143"/>
      <c r="E227" s="143"/>
      <c r="F227" s="143"/>
      <c r="G227" s="143"/>
      <c r="H227" s="143"/>
      <c r="I227" s="291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5.75" customHeight="1">
      <c r="A228" s="143"/>
      <c r="B228" s="143"/>
      <c r="C228" s="143"/>
      <c r="D228" s="143"/>
      <c r="E228" s="143"/>
      <c r="F228" s="143"/>
      <c r="G228" s="143"/>
      <c r="H228" s="143"/>
      <c r="I228" s="291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5.75" customHeight="1">
      <c r="A229" s="143"/>
      <c r="B229" s="143"/>
      <c r="C229" s="143"/>
      <c r="D229" s="143"/>
      <c r="E229" s="143"/>
      <c r="F229" s="143"/>
      <c r="G229" s="143"/>
      <c r="H229" s="143"/>
      <c r="I229" s="291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5.75" customHeight="1">
      <c r="A230" s="143"/>
      <c r="B230" s="143"/>
      <c r="C230" s="143"/>
      <c r="D230" s="143"/>
      <c r="E230" s="143"/>
      <c r="F230" s="143"/>
      <c r="G230" s="143"/>
      <c r="H230" s="143"/>
      <c r="I230" s="291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5.75" customHeight="1">
      <c r="A231" s="143"/>
      <c r="B231" s="143"/>
      <c r="C231" s="143"/>
      <c r="D231" s="143"/>
      <c r="E231" s="143"/>
      <c r="F231" s="143"/>
      <c r="G231" s="143"/>
      <c r="H231" s="143"/>
      <c r="I231" s="291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5.75" customHeight="1">
      <c r="A232" s="143"/>
      <c r="B232" s="143"/>
      <c r="C232" s="143"/>
      <c r="D232" s="143"/>
      <c r="E232" s="143"/>
      <c r="F232" s="143"/>
      <c r="G232" s="143"/>
      <c r="H232" s="143"/>
      <c r="I232" s="291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5.75" customHeight="1">
      <c r="A233" s="143"/>
      <c r="B233" s="143"/>
      <c r="C233" s="143"/>
      <c r="D233" s="143"/>
      <c r="E233" s="143"/>
      <c r="F233" s="143"/>
      <c r="G233" s="143"/>
      <c r="H233" s="143"/>
      <c r="I233" s="291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5.75" customHeight="1">
      <c r="A234" s="143"/>
      <c r="B234" s="143"/>
      <c r="C234" s="143"/>
      <c r="D234" s="143"/>
      <c r="E234" s="143"/>
      <c r="F234" s="143"/>
      <c r="G234" s="143"/>
      <c r="H234" s="143"/>
      <c r="I234" s="291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5.75" customHeight="1">
      <c r="A235" s="143"/>
      <c r="B235" s="143"/>
      <c r="C235" s="143"/>
      <c r="D235" s="143"/>
      <c r="E235" s="143"/>
      <c r="F235" s="143"/>
      <c r="G235" s="143"/>
      <c r="H235" s="143"/>
      <c r="I235" s="291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5.75" customHeight="1">
      <c r="A236" s="143"/>
      <c r="B236" s="143"/>
      <c r="C236" s="143"/>
      <c r="D236" s="143"/>
      <c r="E236" s="143"/>
      <c r="F236" s="143"/>
      <c r="G236" s="143"/>
      <c r="H236" s="143"/>
      <c r="I236" s="291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5.75" customHeight="1">
      <c r="A237" s="143"/>
      <c r="B237" s="143"/>
      <c r="C237" s="143"/>
      <c r="D237" s="143"/>
      <c r="E237" s="143"/>
      <c r="F237" s="143"/>
      <c r="G237" s="143"/>
      <c r="H237" s="143"/>
      <c r="I237" s="291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5.75" customHeight="1">
      <c r="A238" s="143"/>
      <c r="B238" s="143"/>
      <c r="C238" s="143"/>
      <c r="D238" s="143"/>
      <c r="E238" s="143"/>
      <c r="F238" s="143"/>
      <c r="G238" s="143"/>
      <c r="H238" s="143"/>
      <c r="I238" s="291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5.75" customHeight="1">
      <c r="A239" s="143"/>
      <c r="B239" s="143"/>
      <c r="C239" s="143"/>
      <c r="D239" s="143"/>
      <c r="E239" s="143"/>
      <c r="F239" s="143"/>
      <c r="G239" s="143"/>
      <c r="H239" s="143"/>
      <c r="I239" s="291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5.75" customHeight="1">
      <c r="A240" s="143"/>
      <c r="B240" s="143"/>
      <c r="C240" s="143"/>
      <c r="D240" s="143"/>
      <c r="E240" s="143"/>
      <c r="F240" s="143"/>
      <c r="G240" s="143"/>
      <c r="H240" s="143"/>
      <c r="I240" s="291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5.75" customHeight="1">
      <c r="A241" s="143"/>
      <c r="B241" s="143"/>
      <c r="C241" s="143"/>
      <c r="D241" s="143"/>
      <c r="E241" s="143"/>
      <c r="F241" s="143"/>
      <c r="G241" s="143"/>
      <c r="H241" s="143"/>
      <c r="I241" s="291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5.75" customHeight="1">
      <c r="A242" s="143"/>
      <c r="B242" s="143"/>
      <c r="C242" s="143"/>
      <c r="D242" s="143"/>
      <c r="E242" s="143"/>
      <c r="F242" s="143"/>
      <c r="G242" s="143"/>
      <c r="H242" s="143"/>
      <c r="I242" s="291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291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291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91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91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91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291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291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291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291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291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291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291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291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291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291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291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291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291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291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291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291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291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291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291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291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291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291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291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291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291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headerFooter>
    <oddFooter>&amp;RGenerated by Treasury Financial Planning | Internal Use Only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1.75"/>
    <col customWidth="1" min="3" max="3" width="16.5"/>
    <col customWidth="1" min="4" max="4" width="7.75"/>
    <col customWidth="1" min="5" max="5" width="5.25"/>
    <col customWidth="1" min="6" max="6" width="7.25"/>
    <col customWidth="1" min="7" max="7" width="5.88"/>
    <col customWidth="1" min="8" max="8" width="17.75"/>
    <col customWidth="1" min="9" max="9" width="3.5"/>
    <col customWidth="1" min="10" max="10" width="23.5"/>
    <col customWidth="1" min="11" max="11" width="16.5"/>
    <col customWidth="1" min="12" max="12" width="7.75"/>
    <col customWidth="1" min="13" max="13" width="7.0"/>
    <col customWidth="1" min="14" max="14" width="7.25"/>
    <col customWidth="1" min="15" max="15" width="6.0"/>
    <col customWidth="1" min="16" max="16" width="17.5"/>
    <col customWidth="1" min="17" max="26" width="12.5"/>
  </cols>
  <sheetData>
    <row r="1" ht="15.75" hidden="1" customHeight="1">
      <c r="A1" s="143"/>
      <c r="B1" s="143"/>
      <c r="C1" s="143"/>
      <c r="D1" s="143"/>
      <c r="F1" s="143"/>
      <c r="G1" s="143"/>
      <c r="H1" s="143"/>
      <c r="I1" s="291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5.75" hidden="1" customHeight="1">
      <c r="A2" s="143"/>
      <c r="B2" s="143"/>
      <c r="C2" s="143"/>
      <c r="D2" s="143"/>
      <c r="E2" s="143"/>
      <c r="F2" s="143"/>
      <c r="G2" s="143"/>
      <c r="H2" s="143"/>
      <c r="I2" s="291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5.75" hidden="1" customHeight="1">
      <c r="A3" s="143"/>
      <c r="B3" s="143"/>
      <c r="C3" s="143"/>
      <c r="D3" s="143"/>
      <c r="E3" s="143"/>
      <c r="F3" s="143"/>
      <c r="G3" s="143"/>
      <c r="H3" s="143"/>
      <c r="I3" s="291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5.75" hidden="1" customHeight="1">
      <c r="A4" s="143"/>
      <c r="B4" s="133" t="s">
        <v>377</v>
      </c>
      <c r="C4" s="143"/>
      <c r="D4" s="143"/>
      <c r="E4" s="143"/>
      <c r="F4" s="143"/>
      <c r="G4" s="143"/>
      <c r="H4" s="143"/>
      <c r="I4" s="324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5.75" hidden="1" customHeight="1">
      <c r="A5" s="143"/>
      <c r="B5" s="133" t="s">
        <v>378</v>
      </c>
      <c r="C5" s="143"/>
      <c r="D5" s="143"/>
      <c r="E5" s="143"/>
      <c r="G5" s="254" t="s">
        <v>379</v>
      </c>
      <c r="H5" s="292">
        <f>TODAY()</f>
        <v>46109</v>
      </c>
      <c r="I5" s="324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5.75" hidden="1" customHeight="1">
      <c r="A6" s="143"/>
      <c r="C6" s="143"/>
      <c r="D6" s="143"/>
      <c r="E6" s="143"/>
      <c r="F6" s="143"/>
      <c r="G6" s="143"/>
      <c r="H6" s="143"/>
      <c r="I6" s="324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5.75" hidden="1" customHeight="1">
      <c r="A7" s="256"/>
      <c r="B7" s="133" t="s">
        <v>380</v>
      </c>
      <c r="C7" s="143"/>
      <c r="D7" s="143"/>
      <c r="E7" s="143"/>
      <c r="F7" s="143"/>
      <c r="G7" s="143"/>
      <c r="H7" s="143"/>
      <c r="I7" s="324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5.75" hidden="1" customHeight="1">
      <c r="A8" s="256"/>
      <c r="B8" s="258" t="s">
        <v>401</v>
      </c>
      <c r="C8" s="259"/>
      <c r="D8" s="259"/>
      <c r="E8" s="259"/>
      <c r="F8" s="259"/>
      <c r="G8" s="260"/>
      <c r="H8" s="259"/>
      <c r="I8" s="324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5.75" hidden="1" customHeight="1">
      <c r="A9" s="256"/>
      <c r="B9" s="293"/>
      <c r="C9" s="294" t="s">
        <v>395</v>
      </c>
      <c r="D9" s="295" t="s">
        <v>51</v>
      </c>
      <c r="E9" s="295" t="s">
        <v>197</v>
      </c>
      <c r="F9" s="294" t="s">
        <v>396</v>
      </c>
      <c r="G9" s="294" t="s">
        <v>397</v>
      </c>
      <c r="H9" s="296" t="s">
        <v>398</v>
      </c>
      <c r="I9" s="324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5.75" hidden="1" customHeight="1">
      <c r="A10" s="256"/>
      <c r="B10" s="325" t="s">
        <v>402</v>
      </c>
      <c r="C10" s="298">
        <v>1000.0</v>
      </c>
      <c r="D10" s="299">
        <v>0.105</v>
      </c>
      <c r="E10" s="300">
        <v>30.0</v>
      </c>
      <c r="F10" s="301">
        <f>C10*(D10*E10/C23)</f>
        <v>8.630136986</v>
      </c>
      <c r="G10" s="301">
        <f>F10*20%</f>
        <v>1.726027397</v>
      </c>
      <c r="H10" s="302">
        <f>F10-G10</f>
        <v>6.904109589</v>
      </c>
      <c r="I10" s="324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5.75" hidden="1" customHeight="1">
      <c r="A11" s="143"/>
      <c r="B11" s="326"/>
      <c r="C11" s="327"/>
      <c r="D11" s="327"/>
      <c r="E11" s="327"/>
      <c r="F11" s="316">
        <f>F10/C10</f>
        <v>0.008630136986</v>
      </c>
      <c r="G11" s="316"/>
      <c r="H11" s="317">
        <f>H10/C10</f>
        <v>0.006904109589</v>
      </c>
      <c r="I11" s="324"/>
      <c r="J11" s="143"/>
      <c r="K11" s="290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5.75" hidden="1" customHeight="1">
      <c r="A12" s="256"/>
      <c r="B12" s="261" t="s">
        <v>387</v>
      </c>
      <c r="C12" s="306"/>
      <c r="D12" s="306"/>
      <c r="E12" s="307"/>
      <c r="F12" s="308"/>
      <c r="G12" s="309"/>
      <c r="H12" s="310">
        <f>H11*(365/E10)</f>
        <v>0.084</v>
      </c>
      <c r="I12" s="324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5.75" hidden="1" customHeight="1">
      <c r="A13" s="256"/>
      <c r="B13" s="265"/>
      <c r="C13" s="265"/>
      <c r="D13" s="265"/>
      <c r="E13" s="265"/>
      <c r="F13" s="265"/>
      <c r="G13" s="265"/>
      <c r="H13" s="265"/>
      <c r="I13" s="324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5.75" hidden="1" customHeight="1">
      <c r="A14" s="256"/>
      <c r="B14" s="258" t="s">
        <v>388</v>
      </c>
      <c r="C14" s="259"/>
      <c r="D14" s="259"/>
      <c r="E14" s="259"/>
      <c r="F14" s="276"/>
      <c r="G14" s="259"/>
      <c r="H14" s="259"/>
      <c r="I14" s="324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5.75" hidden="1" customHeight="1">
      <c r="A15" s="256"/>
      <c r="B15" s="311"/>
      <c r="C15" s="294" t="s">
        <v>395</v>
      </c>
      <c r="D15" s="294" t="s">
        <v>51</v>
      </c>
      <c r="E15" s="294" t="s">
        <v>197</v>
      </c>
      <c r="F15" s="294" t="s">
        <v>396</v>
      </c>
      <c r="G15" s="294" t="s">
        <v>397</v>
      </c>
      <c r="H15" s="296" t="s">
        <v>398</v>
      </c>
      <c r="I15" s="324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5.75" hidden="1" customHeight="1">
      <c r="A16" s="256"/>
      <c r="B16" s="277" t="s">
        <v>390</v>
      </c>
      <c r="C16" s="328">
        <v>1000.0</v>
      </c>
      <c r="D16" s="329">
        <v>0.1025</v>
      </c>
      <c r="E16" s="330">
        <v>30.0</v>
      </c>
      <c r="F16" s="331">
        <f>C16*(D16*E16/C23)</f>
        <v>8.424657534</v>
      </c>
      <c r="G16" s="331">
        <f>F16*20%</f>
        <v>1.684931507</v>
      </c>
      <c r="H16" s="332">
        <f>F16-G16</f>
        <v>6.739726027</v>
      </c>
      <c r="I16" s="324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5.75" hidden="1" customHeight="1">
      <c r="A17" s="143"/>
      <c r="B17" s="326"/>
      <c r="C17" s="327"/>
      <c r="D17" s="327"/>
      <c r="E17" s="327"/>
      <c r="F17" s="316">
        <f>F16/C16</f>
        <v>0.008424657534</v>
      </c>
      <c r="G17" s="316"/>
      <c r="H17" s="317">
        <f>H16/C16</f>
        <v>0.006739726027</v>
      </c>
      <c r="I17" s="324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5.75" hidden="1" customHeight="1">
      <c r="A18" s="256"/>
      <c r="B18" s="282" t="s">
        <v>387</v>
      </c>
      <c r="C18" s="318"/>
      <c r="D18" s="318"/>
      <c r="E18" s="319"/>
      <c r="F18" s="308"/>
      <c r="G18" s="309"/>
      <c r="H18" s="310">
        <f>H17*(365/E16)</f>
        <v>0.082</v>
      </c>
      <c r="I18" s="324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5.75" hidden="1" customHeight="1">
      <c r="A19" s="256"/>
      <c r="B19" s="284"/>
      <c r="C19" s="284"/>
      <c r="D19" s="265"/>
      <c r="E19" s="265"/>
      <c r="F19" s="265"/>
      <c r="G19" s="265"/>
      <c r="H19" s="265"/>
      <c r="I19" s="324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5.75" hidden="1" customHeight="1">
      <c r="A20" s="143"/>
      <c r="B20" s="285" t="s">
        <v>391</v>
      </c>
      <c r="C20" s="286">
        <f>D10-D16</f>
        <v>0.0025</v>
      </c>
      <c r="D20" s="287"/>
      <c r="E20" s="288"/>
      <c r="G20" s="288"/>
      <c r="I20" s="324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5.75" hidden="1" customHeight="1">
      <c r="A21" s="143"/>
      <c r="B21" s="285" t="s">
        <v>392</v>
      </c>
      <c r="C21" s="286">
        <f>H12-H18</f>
        <v>0.002</v>
      </c>
      <c r="D21" s="257"/>
      <c r="E21" s="143"/>
      <c r="F21" s="143"/>
      <c r="G21" s="143"/>
      <c r="H21" s="143"/>
      <c r="I21" s="324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5.75" hidden="1" customHeight="1">
      <c r="A22" s="143"/>
      <c r="B22" s="143"/>
      <c r="C22" s="143"/>
      <c r="D22" s="143"/>
      <c r="E22" s="143"/>
      <c r="F22" s="143"/>
      <c r="G22" s="143"/>
      <c r="H22" s="143"/>
      <c r="I22" s="324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5.75" hidden="1" customHeight="1">
      <c r="A23" s="143"/>
      <c r="B23" s="320" t="s">
        <v>393</v>
      </c>
      <c r="C23" s="320">
        <v>365.0</v>
      </c>
      <c r="D23" s="143"/>
      <c r="E23" s="143"/>
      <c r="F23" s="143"/>
      <c r="G23" s="143"/>
      <c r="H23" s="143"/>
      <c r="I23" s="324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5.75" hidden="1" customHeight="1">
      <c r="A24" s="143"/>
      <c r="B24" s="321" t="s">
        <v>400</v>
      </c>
      <c r="C24" s="143"/>
      <c r="D24" s="143"/>
      <c r="F24" s="143"/>
      <c r="G24" s="143"/>
      <c r="H24" s="143"/>
      <c r="I24" s="324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5.75" hidden="1" customHeight="1">
      <c r="A25" s="143"/>
      <c r="B25" s="143"/>
      <c r="C25" s="143"/>
      <c r="D25" s="143"/>
      <c r="E25" s="143"/>
      <c r="F25" s="143"/>
      <c r="G25" s="143"/>
      <c r="H25" s="143"/>
      <c r="I25" s="291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5.75" hidden="1" customHeight="1">
      <c r="A26" s="143"/>
      <c r="B26" s="143"/>
      <c r="C26" s="143"/>
      <c r="D26" s="143"/>
      <c r="E26" s="143"/>
      <c r="F26" s="143"/>
      <c r="G26" s="290"/>
      <c r="H26" s="143"/>
      <c r="I26" s="291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5.75" hidden="1" customHeight="1">
      <c r="A27" s="143"/>
      <c r="B27" s="143"/>
      <c r="C27" s="143"/>
      <c r="D27" s="143"/>
      <c r="E27" s="143"/>
      <c r="F27" s="143"/>
      <c r="G27" s="143"/>
      <c r="H27" s="143"/>
      <c r="I27" s="291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5.75" hidden="1" customHeight="1">
      <c r="A28" s="143"/>
      <c r="B28" s="143"/>
      <c r="C28" s="143"/>
      <c r="D28" s="143"/>
      <c r="E28" s="143"/>
      <c r="F28" s="143"/>
      <c r="G28" s="143"/>
      <c r="H28" s="143"/>
      <c r="I28" s="291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5.75" hidden="1" customHeight="1">
      <c r="A29" s="143"/>
      <c r="B29" s="143"/>
      <c r="C29" s="143"/>
      <c r="D29" s="143"/>
      <c r="E29" s="143"/>
      <c r="F29" s="143"/>
      <c r="G29" s="143"/>
      <c r="H29" s="143"/>
      <c r="I29" s="291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5.75" hidden="1" customHeight="1">
      <c r="A30" s="143"/>
      <c r="B30" s="143"/>
      <c r="C30" s="143"/>
      <c r="D30" s="143"/>
      <c r="E30" s="143"/>
      <c r="F30" s="143"/>
      <c r="G30" s="143"/>
      <c r="H30" s="143"/>
      <c r="I30" s="291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5.75" hidden="1" customHeight="1">
      <c r="A31" s="143"/>
      <c r="B31" s="143"/>
      <c r="C31" s="143"/>
      <c r="D31" s="143"/>
      <c r="E31" s="143"/>
      <c r="F31" s="143"/>
      <c r="G31" s="143"/>
      <c r="H31" s="143"/>
      <c r="I31" s="291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5.75" hidden="1" customHeight="1">
      <c r="A32" s="143"/>
      <c r="B32" s="143"/>
      <c r="C32" s="143"/>
      <c r="D32" s="143"/>
      <c r="E32" s="143"/>
      <c r="F32" s="143"/>
      <c r="G32" s="143"/>
      <c r="H32" s="143"/>
      <c r="I32" s="291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5.75" hidden="1" customHeight="1">
      <c r="A33" s="143"/>
      <c r="B33" s="143"/>
      <c r="C33" s="143"/>
      <c r="D33" s="143"/>
      <c r="E33" s="143"/>
      <c r="F33" s="143"/>
      <c r="G33" s="143"/>
      <c r="H33" s="143"/>
      <c r="I33" s="291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5.75" hidden="1" customHeight="1">
      <c r="A34" s="143"/>
      <c r="B34" s="143"/>
      <c r="C34" s="143"/>
      <c r="D34" s="143"/>
      <c r="E34" s="143"/>
      <c r="F34" s="143"/>
      <c r="G34" s="143"/>
      <c r="H34" s="143"/>
      <c r="I34" s="291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5.75" hidden="1" customHeight="1">
      <c r="A35" s="143"/>
      <c r="B35" s="143"/>
      <c r="C35" s="143"/>
      <c r="D35" s="143"/>
      <c r="E35" s="143"/>
      <c r="F35" s="143"/>
      <c r="G35" s="143"/>
      <c r="H35" s="143"/>
      <c r="I35" s="291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5.75" hidden="1" customHeight="1">
      <c r="A36" s="143"/>
      <c r="B36" s="143"/>
      <c r="C36" s="143"/>
      <c r="D36" s="143"/>
      <c r="E36" s="143"/>
      <c r="F36" s="143"/>
      <c r="G36" s="143"/>
      <c r="H36" s="143"/>
      <c r="I36" s="291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5.75" hidden="1" customHeight="1">
      <c r="A37" s="143"/>
      <c r="B37" s="143"/>
      <c r="C37" s="143"/>
      <c r="D37" s="143"/>
      <c r="E37" s="143"/>
      <c r="F37" s="143"/>
      <c r="G37" s="143"/>
      <c r="H37" s="143"/>
      <c r="I37" s="291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5.75" hidden="1" customHeight="1">
      <c r="A38" s="143"/>
      <c r="B38" s="143"/>
      <c r="C38" s="143"/>
      <c r="D38" s="143"/>
      <c r="E38" s="143"/>
      <c r="F38" s="143"/>
      <c r="G38" s="143"/>
      <c r="H38" s="143"/>
      <c r="I38" s="291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5.75" hidden="1" customHeight="1">
      <c r="A39" s="143"/>
      <c r="B39" s="143"/>
      <c r="C39" s="143"/>
      <c r="D39" s="143"/>
      <c r="E39" s="143"/>
      <c r="F39" s="143"/>
      <c r="G39" s="143"/>
      <c r="H39" s="143"/>
      <c r="I39" s="291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5.75" hidden="1" customHeight="1">
      <c r="A40" s="143"/>
      <c r="B40" s="143"/>
      <c r="C40" s="143"/>
      <c r="D40" s="143"/>
      <c r="E40" s="143"/>
      <c r="F40" s="143"/>
      <c r="G40" s="143"/>
      <c r="H40" s="143"/>
      <c r="I40" s="291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5.75" hidden="1" customHeight="1">
      <c r="A41" s="143"/>
      <c r="B41" s="143"/>
      <c r="C41" s="143"/>
      <c r="D41" s="143"/>
      <c r="E41" s="143"/>
      <c r="F41" s="143"/>
      <c r="G41" s="143"/>
      <c r="H41" s="143"/>
      <c r="I41" s="291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5.75" hidden="1" customHeight="1">
      <c r="A42" s="143"/>
      <c r="B42" s="143"/>
      <c r="C42" s="143"/>
      <c r="D42" s="143"/>
      <c r="E42" s="143"/>
      <c r="F42" s="143"/>
      <c r="G42" s="143"/>
      <c r="H42" s="143"/>
      <c r="I42" s="291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5.75" hidden="1" customHeight="1">
      <c r="A43" s="143"/>
      <c r="B43" s="143"/>
      <c r="C43" s="143"/>
      <c r="D43" s="143"/>
      <c r="E43" s="143"/>
      <c r="F43" s="143"/>
      <c r="G43" s="143"/>
      <c r="H43" s="143"/>
      <c r="I43" s="291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5.75" hidden="1" customHeight="1">
      <c r="A44" s="143"/>
      <c r="B44" s="143"/>
      <c r="C44" s="143"/>
      <c r="D44" s="143"/>
      <c r="E44" s="143"/>
      <c r="F44" s="143"/>
      <c r="G44" s="143"/>
      <c r="H44" s="143"/>
      <c r="I44" s="291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5.75" hidden="1" customHeight="1">
      <c r="A45" s="143"/>
      <c r="B45" s="143"/>
      <c r="C45" s="143"/>
      <c r="D45" s="143"/>
      <c r="E45" s="143"/>
      <c r="F45" s="143"/>
      <c r="G45" s="143"/>
      <c r="H45" s="143"/>
      <c r="I45" s="291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5.75" hidden="1" customHeight="1">
      <c r="A46" s="143"/>
      <c r="B46" s="143"/>
      <c r="C46" s="143"/>
      <c r="D46" s="143"/>
      <c r="E46" s="143"/>
      <c r="F46" s="143"/>
      <c r="G46" s="143"/>
      <c r="H46" s="143"/>
      <c r="I46" s="291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5.75" hidden="1" customHeight="1">
      <c r="A47" s="143"/>
      <c r="B47" s="143"/>
      <c r="C47" s="143"/>
      <c r="D47" s="143"/>
      <c r="E47" s="143"/>
      <c r="F47" s="143"/>
      <c r="G47" s="143"/>
      <c r="H47" s="143"/>
      <c r="I47" s="291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5.75" hidden="1" customHeight="1">
      <c r="A48" s="143"/>
      <c r="B48" s="143"/>
      <c r="C48" s="143"/>
      <c r="D48" s="143"/>
      <c r="E48" s="143"/>
      <c r="F48" s="143"/>
      <c r="G48" s="143"/>
      <c r="H48" s="143"/>
      <c r="I48" s="291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5.75" customHeight="1">
      <c r="A49" s="143"/>
      <c r="B49" s="143"/>
      <c r="C49" s="143"/>
      <c r="D49" s="143"/>
      <c r="E49" s="143"/>
      <c r="F49" s="143"/>
      <c r="G49" s="143"/>
      <c r="H49" s="143"/>
      <c r="I49" s="291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5.75" customHeight="1">
      <c r="A50" s="143"/>
      <c r="B50" s="143"/>
      <c r="C50" s="143"/>
      <c r="D50" s="143"/>
      <c r="E50" s="143"/>
      <c r="F50" s="143"/>
      <c r="G50" s="143"/>
      <c r="H50" s="143"/>
      <c r="I50" s="291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5.75" customHeight="1">
      <c r="A51" s="143"/>
      <c r="B51" s="143"/>
      <c r="C51" s="143"/>
      <c r="D51" s="143"/>
      <c r="E51" s="143"/>
      <c r="F51" s="143"/>
      <c r="G51" s="143"/>
      <c r="H51" s="143"/>
      <c r="I51" s="291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5.75" customHeight="1">
      <c r="A52" s="143"/>
      <c r="B52" s="133" t="s">
        <v>377</v>
      </c>
      <c r="C52" s="143"/>
      <c r="D52" s="143"/>
      <c r="E52" s="143"/>
      <c r="F52" s="143"/>
      <c r="G52" s="143"/>
      <c r="H52" s="143"/>
      <c r="I52" s="291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5.75" customHeight="1">
      <c r="A53" s="143"/>
      <c r="B53" s="133" t="s">
        <v>378</v>
      </c>
      <c r="C53" s="143"/>
      <c r="D53" s="143"/>
      <c r="E53" s="143"/>
      <c r="G53" s="254" t="s">
        <v>379</v>
      </c>
      <c r="H53" s="292">
        <f>TODAY()</f>
        <v>46109</v>
      </c>
      <c r="I53" s="291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5.75" customHeight="1">
      <c r="A54" s="143"/>
      <c r="B54" s="143"/>
      <c r="C54" s="143"/>
      <c r="D54" s="143"/>
      <c r="E54" s="143"/>
      <c r="F54" s="143"/>
      <c r="G54" s="143"/>
      <c r="H54" s="143"/>
      <c r="I54" s="291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5.75" customHeight="1">
      <c r="A55" s="143"/>
      <c r="B55" s="133" t="s">
        <v>380</v>
      </c>
      <c r="C55" s="143"/>
      <c r="D55" s="143"/>
      <c r="E55" s="143"/>
      <c r="F55" s="143"/>
      <c r="G55" s="143"/>
      <c r="H55" s="143"/>
      <c r="I55" s="291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5.75" customHeight="1">
      <c r="A56" s="143"/>
      <c r="B56" s="258" t="s">
        <v>394</v>
      </c>
      <c r="C56" s="259"/>
      <c r="D56" s="259"/>
      <c r="E56" s="259"/>
      <c r="F56" s="259"/>
      <c r="G56" s="260"/>
      <c r="H56" s="259"/>
      <c r="I56" s="291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3"/>
      <c r="B57" s="293"/>
      <c r="C57" s="294" t="s">
        <v>395</v>
      </c>
      <c r="D57" s="295" t="s">
        <v>51</v>
      </c>
      <c r="E57" s="295" t="s">
        <v>197</v>
      </c>
      <c r="F57" s="294" t="s">
        <v>396</v>
      </c>
      <c r="G57" s="294" t="s">
        <v>397</v>
      </c>
      <c r="H57" s="296" t="s">
        <v>398</v>
      </c>
      <c r="I57" s="291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3"/>
      <c r="B58" s="297" t="s">
        <v>403</v>
      </c>
      <c r="C58" s="298">
        <v>500.0</v>
      </c>
      <c r="D58" s="333">
        <v>0.105</v>
      </c>
      <c r="E58" s="300">
        <v>180.0</v>
      </c>
      <c r="F58" s="301">
        <f>C58*(D58*E58/C71)</f>
        <v>25.89041096</v>
      </c>
      <c r="G58" s="301">
        <f>F58*15%</f>
        <v>3.883561644</v>
      </c>
      <c r="H58" s="302">
        <f>F58-G58</f>
        <v>22.00684932</v>
      </c>
      <c r="I58" s="291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5.75" customHeight="1">
      <c r="A59" s="143"/>
      <c r="B59" s="269"/>
      <c r="C59" s="303"/>
      <c r="D59" s="303"/>
      <c r="E59" s="303"/>
      <c r="F59" s="304">
        <f>F58/C58</f>
        <v>0.05178082192</v>
      </c>
      <c r="G59" s="304"/>
      <c r="H59" s="305">
        <f>H58/C58</f>
        <v>0.04401369863</v>
      </c>
      <c r="I59" s="291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5.75" customHeight="1">
      <c r="A60" s="143"/>
      <c r="B60" s="261" t="s">
        <v>387</v>
      </c>
      <c r="C60" s="306"/>
      <c r="D60" s="306"/>
      <c r="E60" s="307"/>
      <c r="F60" s="308"/>
      <c r="G60" s="309"/>
      <c r="H60" s="310">
        <f>H59*(365/E58)</f>
        <v>0.08925</v>
      </c>
      <c r="I60" s="291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5.75" customHeight="1">
      <c r="A61" s="143"/>
      <c r="B61" s="265"/>
      <c r="C61" s="265"/>
      <c r="D61" s="265"/>
      <c r="E61" s="265"/>
      <c r="F61" s="265"/>
      <c r="G61" s="265"/>
      <c r="H61" s="265"/>
      <c r="I61" s="291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5.75" customHeight="1">
      <c r="A62" s="143"/>
      <c r="B62" s="258" t="s">
        <v>388</v>
      </c>
      <c r="C62" s="259"/>
      <c r="D62" s="259"/>
      <c r="E62" s="259"/>
      <c r="F62" s="276"/>
      <c r="G62" s="259"/>
      <c r="H62" s="259"/>
      <c r="I62" s="291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5.75" customHeight="1">
      <c r="A63" s="143"/>
      <c r="B63" s="311"/>
      <c r="C63" s="294" t="s">
        <v>395</v>
      </c>
      <c r="D63" s="294" t="s">
        <v>51</v>
      </c>
      <c r="E63" s="294" t="s">
        <v>197</v>
      </c>
      <c r="F63" s="294" t="s">
        <v>396</v>
      </c>
      <c r="G63" s="294" t="s">
        <v>397</v>
      </c>
      <c r="H63" s="296" t="s">
        <v>398</v>
      </c>
      <c r="I63" s="291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5.75" customHeight="1">
      <c r="A64" s="143"/>
      <c r="B64" s="277" t="s">
        <v>390</v>
      </c>
      <c r="C64" s="298">
        <f>C58</f>
        <v>500</v>
      </c>
      <c r="D64" s="312">
        <v>0.1025</v>
      </c>
      <c r="E64" s="313">
        <v>180.0</v>
      </c>
      <c r="F64" s="314">
        <f>C64*(D64*E64/C71)</f>
        <v>25.2739726</v>
      </c>
      <c r="G64" s="314">
        <f>F64*20%</f>
        <v>5.054794521</v>
      </c>
      <c r="H64" s="315">
        <f>F64-G64</f>
        <v>20.21917808</v>
      </c>
      <c r="I64" s="291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5.75" customHeight="1">
      <c r="A65" s="143"/>
      <c r="B65" s="269"/>
      <c r="C65" s="303"/>
      <c r="D65" s="303"/>
      <c r="E65" s="303"/>
      <c r="F65" s="316">
        <f>F64/C64</f>
        <v>0.05054794521</v>
      </c>
      <c r="G65" s="316"/>
      <c r="H65" s="317">
        <f>H64/C64</f>
        <v>0.04043835616</v>
      </c>
      <c r="I65" s="291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5.75" customHeight="1">
      <c r="A66" s="143"/>
      <c r="B66" s="282" t="s">
        <v>387</v>
      </c>
      <c r="C66" s="318"/>
      <c r="D66" s="318"/>
      <c r="E66" s="319"/>
      <c r="F66" s="308"/>
      <c r="G66" s="309"/>
      <c r="H66" s="310">
        <f>H65*(365/E64)</f>
        <v>0.082</v>
      </c>
      <c r="I66" s="291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5.75" customHeight="1">
      <c r="A67" s="143"/>
      <c r="B67" s="284"/>
      <c r="C67" s="284"/>
      <c r="D67" s="265"/>
      <c r="E67" s="265"/>
      <c r="F67" s="265"/>
      <c r="G67" s="265"/>
      <c r="H67" s="265"/>
      <c r="I67" s="291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5.75" customHeight="1">
      <c r="A68" s="143"/>
      <c r="B68" s="285" t="s">
        <v>391</v>
      </c>
      <c r="C68" s="286">
        <f>D58-D64</f>
        <v>0.0025</v>
      </c>
      <c r="D68" s="287"/>
      <c r="E68" s="288"/>
      <c r="G68" s="288"/>
      <c r="I68" s="291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5.75" customHeight="1">
      <c r="A69" s="143"/>
      <c r="B69" s="285" t="s">
        <v>392</v>
      </c>
      <c r="C69" s="286">
        <f>H60-H66</f>
        <v>0.00725</v>
      </c>
      <c r="D69" s="257"/>
      <c r="E69" s="143"/>
      <c r="F69" s="143"/>
      <c r="G69" s="143"/>
      <c r="H69" s="143"/>
      <c r="I69" s="291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5.75" customHeight="1">
      <c r="A70" s="143"/>
      <c r="B70" s="143"/>
      <c r="C70" s="143"/>
      <c r="D70" s="143"/>
      <c r="E70" s="143"/>
      <c r="F70" s="143"/>
      <c r="G70" s="143"/>
      <c r="H70" s="143"/>
      <c r="I70" s="291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5.75" customHeight="1">
      <c r="A71" s="143"/>
      <c r="B71" s="320" t="s">
        <v>393</v>
      </c>
      <c r="C71" s="320">
        <v>365.0</v>
      </c>
      <c r="D71" s="143"/>
      <c r="E71" s="143"/>
      <c r="F71" s="143"/>
      <c r="G71" s="143"/>
      <c r="H71" s="143"/>
      <c r="I71" s="291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5.75" customHeight="1">
      <c r="A72" s="143"/>
      <c r="B72" s="321" t="s">
        <v>400</v>
      </c>
      <c r="C72" s="143"/>
      <c r="D72" s="143"/>
      <c r="F72" s="143"/>
      <c r="G72" s="143"/>
      <c r="H72" s="143"/>
      <c r="I72" s="29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5.75" customHeight="1">
      <c r="A73" s="143"/>
      <c r="B73" s="143"/>
      <c r="C73" s="143"/>
      <c r="D73" s="143"/>
      <c r="E73" s="143"/>
      <c r="F73" s="143"/>
      <c r="G73" s="143"/>
      <c r="H73" s="143"/>
      <c r="I73" s="29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29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5.75" customHeight="1">
      <c r="A75" s="143"/>
      <c r="B75" s="133"/>
      <c r="C75" s="322"/>
      <c r="D75" s="143"/>
      <c r="E75" s="143"/>
      <c r="F75" s="143"/>
      <c r="G75" s="143"/>
      <c r="H75" s="143"/>
      <c r="I75" s="29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5.75" customHeight="1">
      <c r="A76" s="143"/>
      <c r="B76" s="133"/>
      <c r="C76" s="323"/>
      <c r="D76" s="143"/>
      <c r="E76" s="143"/>
      <c r="F76" s="143"/>
      <c r="G76" s="143"/>
      <c r="H76" s="143"/>
      <c r="I76" s="29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5.75" customHeight="1">
      <c r="A77" s="143"/>
      <c r="B77" s="143"/>
      <c r="C77" s="143"/>
      <c r="D77" s="143"/>
      <c r="E77" s="143"/>
      <c r="F77" s="143"/>
      <c r="G77" s="143"/>
      <c r="H77" s="143"/>
      <c r="I77" s="291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291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291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291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291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291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291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291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291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291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291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291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291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291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291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291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291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291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291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291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291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291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291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291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291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291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291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291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291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291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291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291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291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291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291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291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291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291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291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291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291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291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291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291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291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291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291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291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291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291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291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291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291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291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291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291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291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291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291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291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291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291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291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291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291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291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291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291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291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291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291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291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291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291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291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291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291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291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291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291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291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291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291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291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291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291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291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291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291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291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291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291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291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291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291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291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291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291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291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291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291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291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291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291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291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291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291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291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291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291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291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291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291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291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291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291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291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291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291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291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291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291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291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291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291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291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291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291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291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291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291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291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291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291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291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291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291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291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291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291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291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291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291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291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291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291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291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5.75" customHeight="1">
      <c r="A224" s="143"/>
      <c r="B224" s="143"/>
      <c r="C224" s="143"/>
      <c r="D224" s="143"/>
      <c r="E224" s="143"/>
      <c r="F224" s="143"/>
      <c r="G224" s="143"/>
      <c r="H224" s="143"/>
      <c r="I224" s="291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5.75" customHeight="1">
      <c r="A225" s="143"/>
      <c r="B225" s="143"/>
      <c r="C225" s="143"/>
      <c r="D225" s="143"/>
      <c r="E225" s="143"/>
      <c r="F225" s="143"/>
      <c r="G225" s="143"/>
      <c r="H225" s="143"/>
      <c r="I225" s="291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5.75" customHeight="1">
      <c r="A226" s="143"/>
      <c r="B226" s="143"/>
      <c r="C226" s="143"/>
      <c r="D226" s="143"/>
      <c r="E226" s="143"/>
      <c r="F226" s="143"/>
      <c r="G226" s="143"/>
      <c r="H226" s="143"/>
      <c r="I226" s="291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5.75" customHeight="1">
      <c r="A227" s="143"/>
      <c r="B227" s="143"/>
      <c r="C227" s="143"/>
      <c r="D227" s="143"/>
      <c r="E227" s="143"/>
      <c r="F227" s="143"/>
      <c r="G227" s="143"/>
      <c r="H227" s="143"/>
      <c r="I227" s="291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5.75" customHeight="1">
      <c r="A228" s="143"/>
      <c r="B228" s="143"/>
      <c r="C228" s="143"/>
      <c r="D228" s="143"/>
      <c r="E228" s="143"/>
      <c r="F228" s="143"/>
      <c r="G228" s="143"/>
      <c r="H228" s="143"/>
      <c r="I228" s="291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5.75" customHeight="1">
      <c r="A229" s="143"/>
      <c r="B229" s="143"/>
      <c r="C229" s="143"/>
      <c r="D229" s="143"/>
      <c r="E229" s="143"/>
      <c r="F229" s="143"/>
      <c r="G229" s="143"/>
      <c r="H229" s="143"/>
      <c r="I229" s="291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5.75" customHeight="1">
      <c r="A230" s="143"/>
      <c r="B230" s="143"/>
      <c r="C230" s="143"/>
      <c r="D230" s="143"/>
      <c r="E230" s="143"/>
      <c r="F230" s="143"/>
      <c r="G230" s="143"/>
      <c r="H230" s="143"/>
      <c r="I230" s="291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5.75" customHeight="1">
      <c r="A231" s="143"/>
      <c r="B231" s="143"/>
      <c r="C231" s="143"/>
      <c r="D231" s="143"/>
      <c r="E231" s="143"/>
      <c r="F231" s="143"/>
      <c r="G231" s="143"/>
      <c r="H231" s="143"/>
      <c r="I231" s="291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5.75" customHeight="1">
      <c r="A232" s="143"/>
      <c r="B232" s="143"/>
      <c r="C232" s="143"/>
      <c r="D232" s="143"/>
      <c r="E232" s="143"/>
      <c r="F232" s="143"/>
      <c r="G232" s="143"/>
      <c r="H232" s="143"/>
      <c r="I232" s="291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5.75" customHeight="1">
      <c r="A233" s="143"/>
      <c r="B233" s="143"/>
      <c r="C233" s="143"/>
      <c r="D233" s="143"/>
      <c r="E233" s="143"/>
      <c r="F233" s="143"/>
      <c r="G233" s="143"/>
      <c r="H233" s="143"/>
      <c r="I233" s="291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5.75" customHeight="1">
      <c r="A234" s="143"/>
      <c r="B234" s="143"/>
      <c r="C234" s="143"/>
      <c r="D234" s="143"/>
      <c r="E234" s="143"/>
      <c r="F234" s="143"/>
      <c r="G234" s="143"/>
      <c r="H234" s="143"/>
      <c r="I234" s="291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5.75" customHeight="1">
      <c r="A235" s="143"/>
      <c r="B235" s="143"/>
      <c r="C235" s="143"/>
      <c r="D235" s="143"/>
      <c r="E235" s="143"/>
      <c r="F235" s="143"/>
      <c r="G235" s="143"/>
      <c r="H235" s="143"/>
      <c r="I235" s="291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5.75" customHeight="1">
      <c r="A236" s="143"/>
      <c r="B236" s="143"/>
      <c r="C236" s="143"/>
      <c r="D236" s="143"/>
      <c r="E236" s="143"/>
      <c r="F236" s="143"/>
      <c r="G236" s="143"/>
      <c r="H236" s="143"/>
      <c r="I236" s="291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5.75" customHeight="1">
      <c r="A237" s="143"/>
      <c r="B237" s="143"/>
      <c r="C237" s="143"/>
      <c r="D237" s="143"/>
      <c r="E237" s="143"/>
      <c r="F237" s="143"/>
      <c r="G237" s="143"/>
      <c r="H237" s="143"/>
      <c r="I237" s="291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5.75" customHeight="1">
      <c r="A238" s="143"/>
      <c r="B238" s="143"/>
      <c r="C238" s="143"/>
      <c r="D238" s="143"/>
      <c r="E238" s="143"/>
      <c r="F238" s="143"/>
      <c r="G238" s="143"/>
      <c r="H238" s="143"/>
      <c r="I238" s="291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5.75" customHeight="1">
      <c r="A239" s="143"/>
      <c r="B239" s="143"/>
      <c r="C239" s="143"/>
      <c r="D239" s="143"/>
      <c r="E239" s="143"/>
      <c r="F239" s="143"/>
      <c r="G239" s="143"/>
      <c r="H239" s="143"/>
      <c r="I239" s="291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5.75" customHeight="1">
      <c r="A240" s="143"/>
      <c r="B240" s="143"/>
      <c r="C240" s="143"/>
      <c r="D240" s="143"/>
      <c r="E240" s="143"/>
      <c r="F240" s="143"/>
      <c r="G240" s="143"/>
      <c r="H240" s="143"/>
      <c r="I240" s="291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5.75" customHeight="1">
      <c r="A241" s="143"/>
      <c r="B241" s="143"/>
      <c r="C241" s="143"/>
      <c r="D241" s="143"/>
      <c r="E241" s="143"/>
      <c r="F241" s="143"/>
      <c r="G241" s="143"/>
      <c r="H241" s="143"/>
      <c r="I241" s="291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5.75" customHeight="1">
      <c r="A242" s="143"/>
      <c r="B242" s="143"/>
      <c r="C242" s="143"/>
      <c r="D242" s="143"/>
      <c r="E242" s="143"/>
      <c r="F242" s="143"/>
      <c r="G242" s="143"/>
      <c r="H242" s="143"/>
      <c r="I242" s="291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291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291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91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91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91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291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291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291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291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291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291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291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291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291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291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291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291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291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291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291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291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291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291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291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291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291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291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291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291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291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291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5.75" customHeight="1">
      <c r="A274" s="143"/>
      <c r="B274" s="143"/>
      <c r="C274" s="143"/>
      <c r="D274" s="143"/>
      <c r="E274" s="143"/>
      <c r="F274" s="143"/>
      <c r="G274" s="143"/>
      <c r="H274" s="143"/>
      <c r="I274" s="291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5.75" customHeight="1">
      <c r="A275" s="143"/>
      <c r="B275" s="143"/>
      <c r="C275" s="143"/>
      <c r="D275" s="143"/>
      <c r="E275" s="143"/>
      <c r="F275" s="143"/>
      <c r="G275" s="143"/>
      <c r="H275" s="143"/>
      <c r="I275" s="291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5.75" customHeight="1">
      <c r="A276" s="143"/>
      <c r="B276" s="143"/>
      <c r="C276" s="143"/>
      <c r="D276" s="143"/>
      <c r="E276" s="143"/>
      <c r="F276" s="143"/>
      <c r="G276" s="143"/>
      <c r="H276" s="143"/>
      <c r="I276" s="291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5.75" customHeight="1">
      <c r="I277" s="324"/>
    </row>
    <row r="278" ht="15.75" customHeight="1">
      <c r="I278" s="324"/>
    </row>
    <row r="279" ht="15.75" customHeight="1">
      <c r="I279" s="324"/>
    </row>
    <row r="280" ht="15.75" customHeight="1">
      <c r="I280" s="324"/>
    </row>
    <row r="281" ht="15.75" customHeight="1">
      <c r="I281" s="324"/>
    </row>
    <row r="282" ht="15.75" customHeight="1">
      <c r="I282" s="324"/>
    </row>
    <row r="283" ht="15.75" customHeight="1">
      <c r="I283" s="324"/>
    </row>
    <row r="284" ht="15.75" customHeight="1">
      <c r="I284" s="324"/>
    </row>
    <row r="285" ht="15.75" customHeight="1">
      <c r="I285" s="324"/>
    </row>
    <row r="286" ht="15.75" customHeight="1">
      <c r="I286" s="324"/>
    </row>
    <row r="287" ht="15.75" customHeight="1">
      <c r="I287" s="324"/>
    </row>
    <row r="288" ht="15.75" customHeight="1">
      <c r="I288" s="324"/>
    </row>
    <row r="289" ht="15.75" customHeight="1">
      <c r="I289" s="324"/>
    </row>
    <row r="290" ht="15.75" customHeight="1">
      <c r="I290" s="324"/>
    </row>
    <row r="291" ht="15.75" customHeight="1">
      <c r="I291" s="324"/>
    </row>
    <row r="292" ht="15.75" customHeight="1">
      <c r="I292" s="324"/>
    </row>
    <row r="293" ht="15.75" customHeight="1">
      <c r="I293" s="324"/>
    </row>
    <row r="294" ht="15.75" customHeight="1">
      <c r="I294" s="324"/>
    </row>
    <row r="295" ht="15.75" customHeight="1">
      <c r="I295" s="324"/>
    </row>
    <row r="296" ht="15.75" customHeight="1">
      <c r="I296" s="324"/>
    </row>
    <row r="297" ht="15.75" customHeight="1">
      <c r="I297" s="324"/>
    </row>
    <row r="298" ht="15.75" customHeight="1">
      <c r="I298" s="324"/>
    </row>
    <row r="299" ht="15.75" customHeight="1">
      <c r="I299" s="324"/>
    </row>
    <row r="300" ht="15.75" customHeight="1">
      <c r="I300" s="324"/>
    </row>
    <row r="301" ht="15.75" customHeight="1">
      <c r="I301" s="324"/>
    </row>
    <row r="302" ht="15.75" customHeight="1">
      <c r="I302" s="324"/>
    </row>
    <row r="303" ht="15.75" customHeight="1">
      <c r="I303" s="324"/>
    </row>
    <row r="304" ht="15.75" customHeight="1">
      <c r="I304" s="324"/>
    </row>
    <row r="305" ht="15.75" customHeight="1">
      <c r="I305" s="324"/>
    </row>
    <row r="306" ht="15.75" customHeight="1">
      <c r="I306" s="324"/>
    </row>
    <row r="307" ht="15.75" customHeight="1">
      <c r="I307" s="324"/>
    </row>
    <row r="308" ht="15.75" customHeight="1">
      <c r="I308" s="324"/>
    </row>
    <row r="309" ht="15.75" customHeight="1">
      <c r="I309" s="324"/>
    </row>
    <row r="310" ht="15.75" customHeight="1">
      <c r="I310" s="324"/>
    </row>
    <row r="311" ht="15.75" customHeight="1">
      <c r="I311" s="324"/>
    </row>
    <row r="312" ht="15.75" customHeight="1">
      <c r="I312" s="324"/>
    </row>
    <row r="313" ht="15.75" customHeight="1">
      <c r="I313" s="324"/>
    </row>
    <row r="314" ht="15.75" customHeight="1">
      <c r="I314" s="324"/>
    </row>
    <row r="315" ht="15.75" customHeight="1">
      <c r="I315" s="324"/>
    </row>
    <row r="316" ht="15.75" customHeight="1">
      <c r="I316" s="324"/>
    </row>
    <row r="317" ht="15.75" customHeight="1">
      <c r="I317" s="324"/>
    </row>
    <row r="318" ht="15.75" customHeight="1">
      <c r="I318" s="324"/>
    </row>
    <row r="319" ht="15.75" customHeight="1">
      <c r="I319" s="324"/>
    </row>
    <row r="320" ht="15.75" customHeight="1">
      <c r="I320" s="324"/>
    </row>
    <row r="321" ht="15.75" customHeight="1">
      <c r="I321" s="324"/>
    </row>
    <row r="322" ht="15.75" customHeight="1">
      <c r="I322" s="324"/>
    </row>
    <row r="323" ht="15.75" customHeight="1">
      <c r="I323" s="324"/>
    </row>
    <row r="324" ht="15.75" customHeight="1">
      <c r="I324" s="324"/>
    </row>
    <row r="325" ht="15.75" customHeight="1">
      <c r="I325" s="324"/>
    </row>
    <row r="326" ht="15.75" customHeight="1">
      <c r="I326" s="324"/>
    </row>
    <row r="327" ht="15.75" customHeight="1">
      <c r="I327" s="324"/>
    </row>
    <row r="328" ht="15.75" customHeight="1">
      <c r="I328" s="324"/>
    </row>
    <row r="329" ht="15.75" customHeight="1">
      <c r="I329" s="324"/>
    </row>
    <row r="330" ht="15.75" customHeight="1">
      <c r="I330" s="324"/>
    </row>
    <row r="331" ht="15.75" customHeight="1">
      <c r="I331" s="324"/>
    </row>
    <row r="332" ht="15.75" customHeight="1">
      <c r="I332" s="324"/>
    </row>
    <row r="333" ht="15.75" customHeight="1">
      <c r="I333" s="324"/>
    </row>
    <row r="334" ht="15.75" customHeight="1">
      <c r="I334" s="324"/>
    </row>
    <row r="335" ht="15.75" customHeight="1">
      <c r="I335" s="324"/>
    </row>
    <row r="336" ht="15.75" customHeight="1">
      <c r="I336" s="324"/>
    </row>
    <row r="337" ht="15.75" customHeight="1">
      <c r="I337" s="324"/>
    </row>
    <row r="338" ht="15.75" customHeight="1">
      <c r="I338" s="324"/>
    </row>
    <row r="339" ht="15.75" customHeight="1">
      <c r="I339" s="324"/>
    </row>
    <row r="340" ht="15.75" customHeight="1">
      <c r="I340" s="324"/>
    </row>
    <row r="341" ht="15.75" customHeight="1">
      <c r="I341" s="324"/>
    </row>
    <row r="342" ht="15.75" customHeight="1">
      <c r="I342" s="324"/>
    </row>
    <row r="343" ht="15.75" customHeight="1">
      <c r="I343" s="324"/>
    </row>
    <row r="344" ht="15.75" customHeight="1">
      <c r="I344" s="324"/>
    </row>
    <row r="345" ht="15.75" customHeight="1">
      <c r="I345" s="324"/>
    </row>
    <row r="346" ht="15.75" customHeight="1">
      <c r="I346" s="324"/>
    </row>
    <row r="347" ht="15.75" customHeight="1">
      <c r="I347" s="324"/>
    </row>
    <row r="348" ht="15.75" customHeight="1">
      <c r="I348" s="324"/>
    </row>
    <row r="349" ht="15.75" customHeight="1">
      <c r="I349" s="324"/>
    </row>
    <row r="350" ht="15.75" customHeight="1">
      <c r="I350" s="324"/>
    </row>
    <row r="351" ht="15.75" customHeight="1">
      <c r="I351" s="324"/>
    </row>
    <row r="352" ht="15.75" customHeight="1">
      <c r="I352" s="324"/>
    </row>
    <row r="353" ht="15.75" customHeight="1">
      <c r="I353" s="324"/>
    </row>
    <row r="354" ht="15.75" customHeight="1">
      <c r="I354" s="324"/>
    </row>
    <row r="355" ht="15.75" customHeight="1">
      <c r="I355" s="324"/>
    </row>
    <row r="356" ht="15.75" customHeight="1">
      <c r="I356" s="324"/>
    </row>
    <row r="357" ht="15.75" customHeight="1">
      <c r="I357" s="324"/>
    </row>
    <row r="358" ht="15.75" customHeight="1">
      <c r="I358" s="324"/>
    </row>
    <row r="359" ht="15.75" customHeight="1">
      <c r="I359" s="324"/>
    </row>
    <row r="360" ht="15.75" customHeight="1">
      <c r="I360" s="324"/>
    </row>
    <row r="361" ht="15.75" customHeight="1">
      <c r="I361" s="324"/>
    </row>
    <row r="362" ht="15.75" customHeight="1">
      <c r="I362" s="324"/>
    </row>
    <row r="363" ht="15.75" customHeight="1">
      <c r="I363" s="324"/>
    </row>
    <row r="364" ht="15.75" customHeight="1">
      <c r="I364" s="324"/>
    </row>
    <row r="365" ht="15.75" customHeight="1">
      <c r="I365" s="324"/>
    </row>
    <row r="366" ht="15.75" customHeight="1">
      <c r="I366" s="324"/>
    </row>
    <row r="367" ht="15.75" customHeight="1">
      <c r="I367" s="324"/>
    </row>
    <row r="368" ht="15.75" customHeight="1">
      <c r="I368" s="324"/>
    </row>
    <row r="369" ht="15.75" customHeight="1">
      <c r="I369" s="324"/>
    </row>
    <row r="370" ht="15.75" customHeight="1">
      <c r="I370" s="324"/>
    </row>
    <row r="371" ht="15.75" customHeight="1">
      <c r="I371" s="324"/>
    </row>
    <row r="372" ht="15.75" customHeight="1">
      <c r="I372" s="324"/>
    </row>
    <row r="373" ht="15.75" customHeight="1">
      <c r="I373" s="324"/>
    </row>
    <row r="374" ht="15.75" customHeight="1">
      <c r="I374" s="324"/>
    </row>
    <row r="375" ht="15.75" customHeight="1">
      <c r="I375" s="324"/>
    </row>
    <row r="376" ht="15.75" customHeight="1">
      <c r="I376" s="324"/>
    </row>
    <row r="377" ht="15.75" customHeight="1">
      <c r="I377" s="324"/>
    </row>
    <row r="378" ht="15.75" customHeight="1">
      <c r="I378" s="324"/>
    </row>
    <row r="379" ht="15.75" customHeight="1">
      <c r="I379" s="324"/>
    </row>
    <row r="380" ht="15.75" customHeight="1">
      <c r="I380" s="324"/>
    </row>
    <row r="381" ht="15.75" customHeight="1">
      <c r="I381" s="324"/>
    </row>
    <row r="382" ht="15.75" customHeight="1">
      <c r="I382" s="324"/>
    </row>
    <row r="383" ht="15.75" customHeight="1">
      <c r="I383" s="324"/>
    </row>
    <row r="384" ht="15.75" customHeight="1">
      <c r="I384" s="324"/>
    </row>
    <row r="385" ht="15.75" customHeight="1">
      <c r="I385" s="324"/>
    </row>
    <row r="386" ht="15.75" customHeight="1">
      <c r="I386" s="324"/>
    </row>
    <row r="387" ht="15.75" customHeight="1">
      <c r="I387" s="324"/>
    </row>
    <row r="388" ht="15.75" customHeight="1">
      <c r="I388" s="324"/>
    </row>
    <row r="389" ht="15.75" customHeight="1">
      <c r="I389" s="324"/>
    </row>
    <row r="390" ht="15.75" customHeight="1">
      <c r="I390" s="324"/>
    </row>
    <row r="391" ht="15.75" customHeight="1">
      <c r="I391" s="324"/>
    </row>
    <row r="392" ht="15.75" customHeight="1">
      <c r="I392" s="324"/>
    </row>
    <row r="393" ht="15.75" customHeight="1">
      <c r="I393" s="324"/>
    </row>
    <row r="394" ht="15.75" customHeight="1">
      <c r="I394" s="324"/>
    </row>
    <row r="395" ht="15.75" customHeight="1">
      <c r="I395" s="324"/>
    </row>
    <row r="396" ht="15.75" customHeight="1">
      <c r="I396" s="324"/>
    </row>
    <row r="397" ht="15.75" customHeight="1">
      <c r="I397" s="324"/>
    </row>
    <row r="398" ht="15.75" customHeight="1">
      <c r="I398" s="324"/>
    </row>
    <row r="399" ht="15.75" customHeight="1">
      <c r="I399" s="324"/>
    </row>
    <row r="400" ht="15.75" customHeight="1">
      <c r="I400" s="324"/>
    </row>
    <row r="401" ht="15.75" customHeight="1">
      <c r="I401" s="324"/>
    </row>
    <row r="402" ht="15.75" customHeight="1">
      <c r="I402" s="324"/>
    </row>
    <row r="403" ht="15.75" customHeight="1">
      <c r="I403" s="324"/>
    </row>
    <row r="404" ht="15.75" customHeight="1">
      <c r="I404" s="324"/>
    </row>
    <row r="405" ht="15.75" customHeight="1">
      <c r="I405" s="324"/>
    </row>
    <row r="406" ht="15.75" customHeight="1">
      <c r="I406" s="324"/>
    </row>
    <row r="407" ht="15.75" customHeight="1">
      <c r="I407" s="324"/>
    </row>
    <row r="408" ht="15.75" customHeight="1">
      <c r="I408" s="324"/>
    </row>
    <row r="409" ht="15.75" customHeight="1">
      <c r="I409" s="324"/>
    </row>
    <row r="410" ht="15.75" customHeight="1">
      <c r="I410" s="324"/>
    </row>
    <row r="411" ht="15.75" customHeight="1">
      <c r="I411" s="324"/>
    </row>
    <row r="412" ht="15.75" customHeight="1">
      <c r="I412" s="324"/>
    </row>
    <row r="413" ht="15.75" customHeight="1">
      <c r="I413" s="324"/>
    </row>
    <row r="414" ht="15.75" customHeight="1">
      <c r="I414" s="324"/>
    </row>
    <row r="415" ht="15.75" customHeight="1">
      <c r="I415" s="324"/>
    </row>
    <row r="416" ht="15.75" customHeight="1">
      <c r="I416" s="324"/>
    </row>
    <row r="417" ht="15.75" customHeight="1">
      <c r="I417" s="324"/>
    </row>
    <row r="418" ht="15.75" customHeight="1">
      <c r="I418" s="324"/>
    </row>
    <row r="419" ht="15.75" customHeight="1">
      <c r="I419" s="324"/>
    </row>
    <row r="420" ht="15.75" customHeight="1">
      <c r="I420" s="324"/>
    </row>
    <row r="421" ht="15.75" customHeight="1">
      <c r="I421" s="324"/>
    </row>
    <row r="422" ht="15.75" customHeight="1">
      <c r="I422" s="324"/>
    </row>
    <row r="423" ht="15.75" customHeight="1">
      <c r="I423" s="324"/>
    </row>
    <row r="424" ht="15.75" customHeight="1">
      <c r="I424" s="324"/>
    </row>
    <row r="425" ht="15.75" customHeight="1">
      <c r="I425" s="324"/>
    </row>
    <row r="426" ht="15.75" customHeight="1">
      <c r="I426" s="324"/>
    </row>
    <row r="427" ht="15.75" customHeight="1">
      <c r="I427" s="324"/>
    </row>
    <row r="428" ht="15.75" customHeight="1">
      <c r="I428" s="324"/>
    </row>
    <row r="429" ht="15.75" customHeight="1">
      <c r="I429" s="324"/>
    </row>
    <row r="430" ht="15.75" customHeight="1">
      <c r="I430" s="324"/>
    </row>
    <row r="431" ht="15.75" customHeight="1">
      <c r="I431" s="324"/>
    </row>
    <row r="432" ht="15.75" customHeight="1">
      <c r="I432" s="324"/>
    </row>
    <row r="433" ht="15.75" customHeight="1">
      <c r="I433" s="324"/>
    </row>
    <row r="434" ht="15.75" customHeight="1">
      <c r="I434" s="324"/>
    </row>
    <row r="435" ht="15.75" customHeight="1">
      <c r="I435" s="324"/>
    </row>
    <row r="436" ht="15.75" customHeight="1">
      <c r="I436" s="324"/>
    </row>
    <row r="437" ht="15.75" customHeight="1">
      <c r="I437" s="324"/>
    </row>
    <row r="438" ht="15.75" customHeight="1">
      <c r="I438" s="324"/>
    </row>
    <row r="439" ht="15.75" customHeight="1">
      <c r="I439" s="324"/>
    </row>
    <row r="440" ht="15.75" customHeight="1">
      <c r="I440" s="324"/>
    </row>
    <row r="441" ht="15.75" customHeight="1">
      <c r="I441" s="324"/>
    </row>
    <row r="442" ht="15.75" customHeight="1">
      <c r="I442" s="324"/>
    </row>
    <row r="443" ht="15.75" customHeight="1">
      <c r="I443" s="324"/>
    </row>
    <row r="444" ht="15.75" customHeight="1">
      <c r="I444" s="324"/>
    </row>
    <row r="445" ht="15.75" customHeight="1">
      <c r="I445" s="324"/>
    </row>
    <row r="446" ht="15.75" customHeight="1">
      <c r="I446" s="324"/>
    </row>
    <row r="447" ht="15.75" customHeight="1">
      <c r="I447" s="324"/>
    </row>
    <row r="448" ht="15.75" customHeight="1">
      <c r="I448" s="324"/>
    </row>
    <row r="449" ht="15.75" customHeight="1">
      <c r="I449" s="324"/>
    </row>
    <row r="450" ht="15.75" customHeight="1">
      <c r="I450" s="324"/>
    </row>
    <row r="451" ht="15.75" customHeight="1">
      <c r="I451" s="324"/>
    </row>
    <row r="452" ht="15.75" customHeight="1">
      <c r="I452" s="324"/>
    </row>
    <row r="453" ht="15.75" customHeight="1">
      <c r="I453" s="324"/>
    </row>
    <row r="454" ht="15.75" customHeight="1">
      <c r="I454" s="324"/>
    </row>
    <row r="455" ht="15.75" customHeight="1">
      <c r="I455" s="324"/>
    </row>
    <row r="456" ht="15.75" customHeight="1">
      <c r="I456" s="324"/>
    </row>
    <row r="457" ht="15.75" customHeight="1">
      <c r="I457" s="324"/>
    </row>
    <row r="458" ht="15.75" customHeight="1">
      <c r="I458" s="324"/>
    </row>
    <row r="459" ht="15.75" customHeight="1">
      <c r="I459" s="324"/>
    </row>
    <row r="460" ht="15.75" customHeight="1">
      <c r="I460" s="324"/>
    </row>
    <row r="461" ht="15.75" customHeight="1">
      <c r="I461" s="324"/>
    </row>
    <row r="462" ht="15.75" customHeight="1">
      <c r="I462" s="324"/>
    </row>
    <row r="463" ht="15.75" customHeight="1">
      <c r="I463" s="324"/>
    </row>
    <row r="464" ht="15.75" customHeight="1">
      <c r="I464" s="324"/>
    </row>
    <row r="465" ht="15.75" customHeight="1">
      <c r="I465" s="324"/>
    </row>
    <row r="466" ht="15.75" customHeight="1">
      <c r="I466" s="324"/>
    </row>
    <row r="467" ht="15.75" customHeight="1">
      <c r="I467" s="324"/>
    </row>
    <row r="468" ht="15.75" customHeight="1">
      <c r="I468" s="324"/>
    </row>
    <row r="469" ht="15.75" customHeight="1">
      <c r="I469" s="324"/>
    </row>
    <row r="470" ht="15.75" customHeight="1">
      <c r="I470" s="324"/>
    </row>
    <row r="471" ht="15.75" customHeight="1">
      <c r="I471" s="324"/>
    </row>
    <row r="472" ht="15.75" customHeight="1">
      <c r="I472" s="324"/>
    </row>
    <row r="473" ht="15.75" customHeight="1">
      <c r="I473" s="324"/>
    </row>
    <row r="474" ht="15.75" customHeight="1">
      <c r="I474" s="324"/>
    </row>
    <row r="475" ht="15.75" customHeight="1">
      <c r="I475" s="324"/>
    </row>
    <row r="476" ht="15.75" customHeight="1">
      <c r="I476" s="324"/>
    </row>
    <row r="477" ht="15.75" customHeight="1">
      <c r="I477" s="324"/>
    </row>
    <row r="478" ht="15.75" customHeight="1">
      <c r="I478" s="324"/>
    </row>
    <row r="479" ht="15.75" customHeight="1">
      <c r="I479" s="324"/>
    </row>
    <row r="480" ht="15.75" customHeight="1">
      <c r="I480" s="324"/>
    </row>
    <row r="481" ht="15.75" customHeight="1">
      <c r="I481" s="324"/>
    </row>
    <row r="482" ht="15.75" customHeight="1">
      <c r="I482" s="324"/>
    </row>
    <row r="483" ht="15.75" customHeight="1">
      <c r="I483" s="324"/>
    </row>
    <row r="484" ht="15.75" customHeight="1">
      <c r="I484" s="324"/>
    </row>
    <row r="485" ht="15.75" customHeight="1">
      <c r="I485" s="324"/>
    </row>
    <row r="486" ht="15.75" customHeight="1">
      <c r="I486" s="324"/>
    </row>
    <row r="487" ht="15.75" customHeight="1">
      <c r="I487" s="324"/>
    </row>
    <row r="488" ht="15.75" customHeight="1">
      <c r="I488" s="324"/>
    </row>
    <row r="489" ht="15.75" customHeight="1">
      <c r="I489" s="324"/>
    </row>
    <row r="490" ht="15.75" customHeight="1">
      <c r="I490" s="324"/>
    </row>
    <row r="491" ht="15.75" customHeight="1">
      <c r="I491" s="324"/>
    </row>
    <row r="492" ht="15.75" customHeight="1">
      <c r="I492" s="324"/>
    </row>
    <row r="493" ht="15.75" customHeight="1">
      <c r="I493" s="324"/>
    </row>
    <row r="494" ht="15.75" customHeight="1">
      <c r="I494" s="324"/>
    </row>
    <row r="495" ht="15.75" customHeight="1">
      <c r="I495" s="324"/>
    </row>
    <row r="496" ht="15.75" customHeight="1">
      <c r="I496" s="324"/>
    </row>
    <row r="497" ht="15.75" customHeight="1">
      <c r="I497" s="324"/>
    </row>
    <row r="498" ht="15.75" customHeight="1">
      <c r="I498" s="324"/>
    </row>
    <row r="499" ht="15.75" customHeight="1">
      <c r="I499" s="324"/>
    </row>
    <row r="500" ht="15.75" customHeight="1">
      <c r="I500" s="324"/>
    </row>
    <row r="501" ht="15.75" customHeight="1">
      <c r="I501" s="324"/>
    </row>
    <row r="502" ht="15.75" customHeight="1">
      <c r="I502" s="324"/>
    </row>
    <row r="503" ht="15.75" customHeight="1">
      <c r="I503" s="324"/>
    </row>
    <row r="504" ht="15.75" customHeight="1">
      <c r="I504" s="324"/>
    </row>
    <row r="505" ht="15.75" customHeight="1">
      <c r="I505" s="324"/>
    </row>
    <row r="506" ht="15.75" customHeight="1">
      <c r="I506" s="324"/>
    </row>
    <row r="507" ht="15.75" customHeight="1">
      <c r="I507" s="324"/>
    </row>
    <row r="508" ht="15.75" customHeight="1">
      <c r="I508" s="324"/>
    </row>
    <row r="509" ht="15.75" customHeight="1">
      <c r="I509" s="324"/>
    </row>
    <row r="510" ht="15.75" customHeight="1">
      <c r="I510" s="324"/>
    </row>
    <row r="511" ht="15.75" customHeight="1">
      <c r="I511" s="324"/>
    </row>
    <row r="512" ht="15.75" customHeight="1">
      <c r="I512" s="324"/>
    </row>
    <row r="513" ht="15.75" customHeight="1">
      <c r="I513" s="324"/>
    </row>
    <row r="514" ht="15.75" customHeight="1">
      <c r="I514" s="324"/>
    </row>
    <row r="515" ht="15.75" customHeight="1">
      <c r="I515" s="324"/>
    </row>
    <row r="516" ht="15.75" customHeight="1">
      <c r="I516" s="324"/>
    </row>
    <row r="517" ht="15.75" customHeight="1">
      <c r="I517" s="324"/>
    </row>
    <row r="518" ht="15.75" customHeight="1">
      <c r="I518" s="324"/>
    </row>
    <row r="519" ht="15.75" customHeight="1">
      <c r="I519" s="324"/>
    </row>
    <row r="520" ht="15.75" customHeight="1">
      <c r="I520" s="324"/>
    </row>
    <row r="521" ht="15.75" customHeight="1">
      <c r="I521" s="324"/>
    </row>
    <row r="522" ht="15.75" customHeight="1">
      <c r="I522" s="324"/>
    </row>
    <row r="523" ht="15.75" customHeight="1">
      <c r="I523" s="324"/>
    </row>
    <row r="524" ht="15.75" customHeight="1">
      <c r="I524" s="324"/>
    </row>
    <row r="525" ht="15.75" customHeight="1">
      <c r="I525" s="324"/>
    </row>
    <row r="526" ht="15.75" customHeight="1">
      <c r="I526" s="324"/>
    </row>
    <row r="527" ht="15.75" customHeight="1">
      <c r="I527" s="324"/>
    </row>
    <row r="528" ht="15.75" customHeight="1">
      <c r="I528" s="324"/>
    </row>
    <row r="529" ht="15.75" customHeight="1">
      <c r="I529" s="324"/>
    </row>
    <row r="530" ht="15.75" customHeight="1">
      <c r="I530" s="324"/>
    </row>
    <row r="531" ht="15.75" customHeight="1">
      <c r="I531" s="324"/>
    </row>
    <row r="532" ht="15.75" customHeight="1">
      <c r="I532" s="324"/>
    </row>
    <row r="533" ht="15.75" customHeight="1">
      <c r="I533" s="324"/>
    </row>
    <row r="534" ht="15.75" customHeight="1">
      <c r="I534" s="324"/>
    </row>
    <row r="535" ht="15.75" customHeight="1">
      <c r="I535" s="324"/>
    </row>
    <row r="536" ht="15.75" customHeight="1">
      <c r="I536" s="324"/>
    </row>
    <row r="537" ht="15.75" customHeight="1">
      <c r="I537" s="324"/>
    </row>
    <row r="538" ht="15.75" customHeight="1">
      <c r="I538" s="324"/>
    </row>
    <row r="539" ht="15.75" customHeight="1">
      <c r="I539" s="324"/>
    </row>
    <row r="540" ht="15.75" customHeight="1">
      <c r="I540" s="324"/>
    </row>
    <row r="541" ht="15.75" customHeight="1">
      <c r="I541" s="324"/>
    </row>
    <row r="542" ht="15.75" customHeight="1">
      <c r="I542" s="324"/>
    </row>
    <row r="543" ht="15.75" customHeight="1">
      <c r="I543" s="324"/>
    </row>
    <row r="544" ht="15.75" customHeight="1">
      <c r="I544" s="324"/>
    </row>
    <row r="545" ht="15.75" customHeight="1">
      <c r="I545" s="324"/>
    </row>
    <row r="546" ht="15.75" customHeight="1">
      <c r="I546" s="324"/>
    </row>
    <row r="547" ht="15.75" customHeight="1">
      <c r="I547" s="324"/>
    </row>
    <row r="548" ht="15.75" customHeight="1">
      <c r="I548" s="324"/>
    </row>
    <row r="549" ht="15.75" customHeight="1">
      <c r="I549" s="324"/>
    </row>
    <row r="550" ht="15.75" customHeight="1">
      <c r="I550" s="324"/>
    </row>
    <row r="551" ht="15.75" customHeight="1">
      <c r="I551" s="324"/>
    </row>
    <row r="552" ht="15.75" customHeight="1">
      <c r="I552" s="324"/>
    </row>
    <row r="553" ht="15.75" customHeight="1">
      <c r="I553" s="324"/>
    </row>
    <row r="554" ht="15.75" customHeight="1">
      <c r="I554" s="324"/>
    </row>
    <row r="555" ht="15.75" customHeight="1">
      <c r="I555" s="324"/>
    </row>
    <row r="556" ht="15.75" customHeight="1">
      <c r="I556" s="324"/>
    </row>
    <row r="557" ht="15.75" customHeight="1">
      <c r="I557" s="324"/>
    </row>
    <row r="558" ht="15.75" customHeight="1">
      <c r="I558" s="324"/>
    </row>
    <row r="559" ht="15.75" customHeight="1">
      <c r="I559" s="324"/>
    </row>
    <row r="560" ht="15.75" customHeight="1">
      <c r="I560" s="324"/>
    </row>
    <row r="561" ht="15.75" customHeight="1">
      <c r="I561" s="324"/>
    </row>
    <row r="562" ht="15.75" customHeight="1">
      <c r="I562" s="324"/>
    </row>
    <row r="563" ht="15.75" customHeight="1">
      <c r="I563" s="324"/>
    </row>
    <row r="564" ht="15.75" customHeight="1">
      <c r="I564" s="324"/>
    </row>
    <row r="565" ht="15.75" customHeight="1">
      <c r="I565" s="324"/>
    </row>
    <row r="566" ht="15.75" customHeight="1">
      <c r="I566" s="324"/>
    </row>
    <row r="567" ht="15.75" customHeight="1">
      <c r="I567" s="324"/>
    </row>
    <row r="568" ht="15.75" customHeight="1">
      <c r="I568" s="324"/>
    </row>
    <row r="569" ht="15.75" customHeight="1">
      <c r="I569" s="324"/>
    </row>
    <row r="570" ht="15.75" customHeight="1">
      <c r="I570" s="324"/>
    </row>
    <row r="571" ht="15.75" customHeight="1">
      <c r="I571" s="324"/>
    </row>
    <row r="572" ht="15.75" customHeight="1">
      <c r="I572" s="324"/>
    </row>
    <row r="573" ht="15.75" customHeight="1">
      <c r="I573" s="324"/>
    </row>
    <row r="574" ht="15.75" customHeight="1">
      <c r="I574" s="324"/>
    </row>
    <row r="575" ht="15.75" customHeight="1">
      <c r="I575" s="324"/>
    </row>
    <row r="576" ht="15.75" customHeight="1">
      <c r="I576" s="324"/>
    </row>
    <row r="577" ht="15.75" customHeight="1">
      <c r="I577" s="324"/>
    </row>
    <row r="578" ht="15.75" customHeight="1">
      <c r="I578" s="324"/>
    </row>
    <row r="579" ht="15.75" customHeight="1">
      <c r="I579" s="324"/>
    </row>
    <row r="580" ht="15.75" customHeight="1">
      <c r="I580" s="324"/>
    </row>
    <row r="581" ht="15.75" customHeight="1">
      <c r="I581" s="324"/>
    </row>
    <row r="582" ht="15.75" customHeight="1">
      <c r="I582" s="324"/>
    </row>
    <row r="583" ht="15.75" customHeight="1">
      <c r="I583" s="324"/>
    </row>
    <row r="584" ht="15.75" customHeight="1">
      <c r="I584" s="324"/>
    </row>
    <row r="585" ht="15.75" customHeight="1">
      <c r="I585" s="324"/>
    </row>
    <row r="586" ht="15.75" customHeight="1">
      <c r="I586" s="324"/>
    </row>
    <row r="587" ht="15.75" customHeight="1">
      <c r="I587" s="324"/>
    </row>
    <row r="588" ht="15.75" customHeight="1">
      <c r="I588" s="324"/>
    </row>
    <row r="589" ht="15.75" customHeight="1">
      <c r="I589" s="324"/>
    </row>
    <row r="590" ht="15.75" customHeight="1">
      <c r="I590" s="324"/>
    </row>
    <row r="591" ht="15.75" customHeight="1">
      <c r="I591" s="324"/>
    </row>
    <row r="592" ht="15.75" customHeight="1">
      <c r="I592" s="324"/>
    </row>
    <row r="593" ht="15.75" customHeight="1">
      <c r="I593" s="324"/>
    </row>
    <row r="594" ht="15.75" customHeight="1">
      <c r="I594" s="324"/>
    </row>
    <row r="595" ht="15.75" customHeight="1">
      <c r="I595" s="324"/>
    </row>
    <row r="596" ht="15.75" customHeight="1">
      <c r="I596" s="324"/>
    </row>
    <row r="597" ht="15.75" customHeight="1">
      <c r="I597" s="324"/>
    </row>
    <row r="598" ht="15.75" customHeight="1">
      <c r="I598" s="324"/>
    </row>
    <row r="599" ht="15.75" customHeight="1">
      <c r="I599" s="324"/>
    </row>
    <row r="600" ht="15.75" customHeight="1">
      <c r="I600" s="324"/>
    </row>
    <row r="601" ht="15.75" customHeight="1">
      <c r="I601" s="324"/>
    </row>
    <row r="602" ht="15.75" customHeight="1">
      <c r="I602" s="324"/>
    </row>
    <row r="603" ht="15.75" customHeight="1">
      <c r="I603" s="324"/>
    </row>
    <row r="604" ht="15.75" customHeight="1">
      <c r="I604" s="324"/>
    </row>
    <row r="605" ht="15.75" customHeight="1">
      <c r="I605" s="324"/>
    </row>
    <row r="606" ht="15.75" customHeight="1">
      <c r="I606" s="324"/>
    </row>
    <row r="607" ht="15.75" customHeight="1">
      <c r="I607" s="324"/>
    </row>
    <row r="608" ht="15.75" customHeight="1">
      <c r="I608" s="324"/>
    </row>
    <row r="609" ht="15.75" customHeight="1">
      <c r="I609" s="324"/>
    </row>
    <row r="610" ht="15.75" customHeight="1">
      <c r="I610" s="324"/>
    </row>
    <row r="611" ht="15.75" customHeight="1">
      <c r="I611" s="324"/>
    </row>
    <row r="612" ht="15.75" customHeight="1">
      <c r="I612" s="324"/>
    </row>
    <row r="613" ht="15.75" customHeight="1">
      <c r="I613" s="324"/>
    </row>
    <row r="614" ht="15.75" customHeight="1">
      <c r="I614" s="324"/>
    </row>
    <row r="615" ht="15.75" customHeight="1">
      <c r="I615" s="324"/>
    </row>
    <row r="616" ht="15.75" customHeight="1">
      <c r="I616" s="324"/>
    </row>
    <row r="617" ht="15.75" customHeight="1">
      <c r="I617" s="324"/>
    </row>
    <row r="618" ht="15.75" customHeight="1">
      <c r="I618" s="324"/>
    </row>
    <row r="619" ht="15.75" customHeight="1">
      <c r="I619" s="324"/>
    </row>
    <row r="620" ht="15.75" customHeight="1">
      <c r="I620" s="324"/>
    </row>
    <row r="621" ht="15.75" customHeight="1">
      <c r="I621" s="324"/>
    </row>
    <row r="622" ht="15.75" customHeight="1">
      <c r="I622" s="324"/>
    </row>
    <row r="623" ht="15.75" customHeight="1">
      <c r="I623" s="324"/>
    </row>
    <row r="624" ht="15.75" customHeight="1">
      <c r="I624" s="324"/>
    </row>
    <row r="625" ht="15.75" customHeight="1">
      <c r="I625" s="324"/>
    </row>
    <row r="626" ht="15.75" customHeight="1">
      <c r="I626" s="324"/>
    </row>
    <row r="627" ht="15.75" customHeight="1">
      <c r="I627" s="324"/>
    </row>
    <row r="628" ht="15.75" customHeight="1">
      <c r="I628" s="324"/>
    </row>
    <row r="629" ht="15.75" customHeight="1">
      <c r="I629" s="324"/>
    </row>
    <row r="630" ht="15.75" customHeight="1">
      <c r="I630" s="324"/>
    </row>
    <row r="631" ht="15.75" customHeight="1">
      <c r="I631" s="324"/>
    </row>
    <row r="632" ht="15.75" customHeight="1">
      <c r="I632" s="324"/>
    </row>
    <row r="633" ht="15.75" customHeight="1">
      <c r="I633" s="324"/>
    </row>
    <row r="634" ht="15.75" customHeight="1">
      <c r="I634" s="324"/>
    </row>
    <row r="635" ht="15.75" customHeight="1">
      <c r="I635" s="324"/>
    </row>
    <row r="636" ht="15.75" customHeight="1">
      <c r="I636" s="324"/>
    </row>
    <row r="637" ht="15.75" customHeight="1">
      <c r="I637" s="324"/>
    </row>
    <row r="638" ht="15.75" customHeight="1">
      <c r="I638" s="324"/>
    </row>
    <row r="639" ht="15.75" customHeight="1">
      <c r="I639" s="324"/>
    </row>
    <row r="640" ht="15.75" customHeight="1">
      <c r="I640" s="324"/>
    </row>
    <row r="641" ht="15.75" customHeight="1">
      <c r="I641" s="324"/>
    </row>
    <row r="642" ht="15.75" customHeight="1">
      <c r="I642" s="324"/>
    </row>
    <row r="643" ht="15.75" customHeight="1">
      <c r="I643" s="324"/>
    </row>
    <row r="644" ht="15.75" customHeight="1">
      <c r="I644" s="324"/>
    </row>
    <row r="645" ht="15.75" customHeight="1">
      <c r="I645" s="324"/>
    </row>
    <row r="646" ht="15.75" customHeight="1">
      <c r="I646" s="324"/>
    </row>
    <row r="647" ht="15.75" customHeight="1">
      <c r="I647" s="324"/>
    </row>
    <row r="648" ht="15.75" customHeight="1">
      <c r="I648" s="324"/>
    </row>
    <row r="649" ht="15.75" customHeight="1">
      <c r="I649" s="324"/>
    </row>
    <row r="650" ht="15.75" customHeight="1">
      <c r="I650" s="324"/>
    </row>
    <row r="651" ht="15.75" customHeight="1">
      <c r="I651" s="324"/>
    </row>
    <row r="652" ht="15.75" customHeight="1">
      <c r="I652" s="324"/>
    </row>
    <row r="653" ht="15.75" customHeight="1">
      <c r="I653" s="324"/>
    </row>
    <row r="654" ht="15.75" customHeight="1">
      <c r="I654" s="324"/>
    </row>
    <row r="655" ht="15.75" customHeight="1">
      <c r="I655" s="324"/>
    </row>
    <row r="656" ht="15.75" customHeight="1">
      <c r="I656" s="324"/>
    </row>
    <row r="657" ht="15.75" customHeight="1">
      <c r="I657" s="324"/>
    </row>
    <row r="658" ht="15.75" customHeight="1">
      <c r="I658" s="324"/>
    </row>
    <row r="659" ht="15.75" customHeight="1">
      <c r="I659" s="324"/>
    </row>
    <row r="660" ht="15.75" customHeight="1">
      <c r="I660" s="324"/>
    </row>
    <row r="661" ht="15.75" customHeight="1">
      <c r="I661" s="324"/>
    </row>
    <row r="662" ht="15.75" customHeight="1">
      <c r="I662" s="324"/>
    </row>
    <row r="663" ht="15.75" customHeight="1">
      <c r="I663" s="324"/>
    </row>
    <row r="664" ht="15.75" customHeight="1">
      <c r="I664" s="324"/>
    </row>
    <row r="665" ht="15.75" customHeight="1">
      <c r="I665" s="324"/>
    </row>
    <row r="666" ht="15.75" customHeight="1">
      <c r="I666" s="324"/>
    </row>
    <row r="667" ht="15.75" customHeight="1">
      <c r="I667" s="324"/>
    </row>
    <row r="668" ht="15.75" customHeight="1">
      <c r="I668" s="324"/>
    </row>
    <row r="669" ht="15.75" customHeight="1">
      <c r="I669" s="324"/>
    </row>
    <row r="670" ht="15.75" customHeight="1">
      <c r="I670" s="324"/>
    </row>
    <row r="671" ht="15.75" customHeight="1">
      <c r="I671" s="324"/>
    </row>
    <row r="672" ht="15.75" customHeight="1">
      <c r="I672" s="324"/>
    </row>
    <row r="673" ht="15.75" customHeight="1">
      <c r="I673" s="324"/>
    </row>
    <row r="674" ht="15.75" customHeight="1">
      <c r="I674" s="324"/>
    </row>
    <row r="675" ht="15.75" customHeight="1">
      <c r="I675" s="324"/>
    </row>
    <row r="676" ht="15.75" customHeight="1">
      <c r="I676" s="324"/>
    </row>
    <row r="677" ht="15.75" customHeight="1">
      <c r="I677" s="324"/>
    </row>
    <row r="678" ht="15.75" customHeight="1">
      <c r="I678" s="324"/>
    </row>
    <row r="679" ht="15.75" customHeight="1">
      <c r="I679" s="324"/>
    </row>
    <row r="680" ht="15.75" customHeight="1">
      <c r="I680" s="324"/>
    </row>
    <row r="681" ht="15.75" customHeight="1">
      <c r="I681" s="324"/>
    </row>
    <row r="682" ht="15.75" customHeight="1">
      <c r="I682" s="324"/>
    </row>
    <row r="683" ht="15.75" customHeight="1">
      <c r="I683" s="324"/>
    </row>
    <row r="684" ht="15.75" customHeight="1">
      <c r="I684" s="324"/>
    </row>
    <row r="685" ht="15.75" customHeight="1">
      <c r="I685" s="324"/>
    </row>
    <row r="686" ht="15.75" customHeight="1">
      <c r="I686" s="324"/>
    </row>
    <row r="687" ht="15.75" customHeight="1">
      <c r="I687" s="324"/>
    </row>
    <row r="688" ht="15.75" customHeight="1">
      <c r="I688" s="324"/>
    </row>
    <row r="689" ht="15.75" customHeight="1">
      <c r="I689" s="324"/>
    </row>
    <row r="690" ht="15.75" customHeight="1">
      <c r="I690" s="324"/>
    </row>
    <row r="691" ht="15.75" customHeight="1">
      <c r="I691" s="324"/>
    </row>
    <row r="692" ht="15.75" customHeight="1">
      <c r="I692" s="324"/>
    </row>
    <row r="693" ht="15.75" customHeight="1">
      <c r="I693" s="324"/>
    </row>
    <row r="694" ht="15.75" customHeight="1">
      <c r="I694" s="324"/>
    </row>
    <row r="695" ht="15.75" customHeight="1">
      <c r="I695" s="324"/>
    </row>
    <row r="696" ht="15.75" customHeight="1">
      <c r="I696" s="324"/>
    </row>
    <row r="697" ht="15.75" customHeight="1">
      <c r="I697" s="324"/>
    </row>
    <row r="698" ht="15.75" customHeight="1">
      <c r="I698" s="324"/>
    </row>
    <row r="699" ht="15.75" customHeight="1">
      <c r="I699" s="324"/>
    </row>
    <row r="700" ht="15.75" customHeight="1">
      <c r="I700" s="324"/>
    </row>
    <row r="701" ht="15.75" customHeight="1">
      <c r="I701" s="324"/>
    </row>
    <row r="702" ht="15.75" customHeight="1">
      <c r="I702" s="324"/>
    </row>
    <row r="703" ht="15.75" customHeight="1">
      <c r="I703" s="324"/>
    </row>
    <row r="704" ht="15.75" customHeight="1">
      <c r="I704" s="324"/>
    </row>
    <row r="705" ht="15.75" customHeight="1">
      <c r="I705" s="324"/>
    </row>
    <row r="706" ht="15.75" customHeight="1">
      <c r="I706" s="324"/>
    </row>
    <row r="707" ht="15.75" customHeight="1">
      <c r="I707" s="324"/>
    </row>
    <row r="708" ht="15.75" customHeight="1">
      <c r="I708" s="324"/>
    </row>
    <row r="709" ht="15.75" customHeight="1">
      <c r="I709" s="324"/>
    </row>
    <row r="710" ht="15.75" customHeight="1">
      <c r="I710" s="324"/>
    </row>
    <row r="711" ht="15.75" customHeight="1">
      <c r="I711" s="324"/>
    </row>
    <row r="712" ht="15.75" customHeight="1">
      <c r="I712" s="324"/>
    </row>
    <row r="713" ht="15.75" customHeight="1">
      <c r="I713" s="324"/>
    </row>
    <row r="714" ht="15.75" customHeight="1">
      <c r="I714" s="324"/>
    </row>
    <row r="715" ht="15.75" customHeight="1">
      <c r="I715" s="324"/>
    </row>
    <row r="716" ht="15.75" customHeight="1">
      <c r="I716" s="324"/>
    </row>
    <row r="717" ht="15.75" customHeight="1">
      <c r="I717" s="324"/>
    </row>
    <row r="718" ht="15.75" customHeight="1">
      <c r="I718" s="324"/>
    </row>
    <row r="719" ht="15.75" customHeight="1">
      <c r="I719" s="324"/>
    </row>
    <row r="720" ht="15.75" customHeight="1">
      <c r="I720" s="324"/>
    </row>
    <row r="721" ht="15.75" customHeight="1">
      <c r="I721" s="324"/>
    </row>
    <row r="722" ht="15.75" customHeight="1">
      <c r="I722" s="324"/>
    </row>
    <row r="723" ht="15.75" customHeight="1">
      <c r="I723" s="324"/>
    </row>
    <row r="724" ht="15.75" customHeight="1">
      <c r="I724" s="324"/>
    </row>
    <row r="725" ht="15.75" customHeight="1">
      <c r="I725" s="324"/>
    </row>
    <row r="726" ht="15.75" customHeight="1">
      <c r="I726" s="324"/>
    </row>
    <row r="727" ht="15.75" customHeight="1">
      <c r="I727" s="324"/>
    </row>
    <row r="728" ht="15.75" customHeight="1">
      <c r="I728" s="324"/>
    </row>
    <row r="729" ht="15.75" customHeight="1">
      <c r="I729" s="324"/>
    </row>
    <row r="730" ht="15.75" customHeight="1">
      <c r="I730" s="324"/>
    </row>
    <row r="731" ht="15.75" customHeight="1">
      <c r="I731" s="324"/>
    </row>
    <row r="732" ht="15.75" customHeight="1">
      <c r="I732" s="324"/>
    </row>
    <row r="733" ht="15.75" customHeight="1">
      <c r="I733" s="324"/>
    </row>
    <row r="734" ht="15.75" customHeight="1">
      <c r="I734" s="324"/>
    </row>
    <row r="735" ht="15.75" customHeight="1">
      <c r="I735" s="324"/>
    </row>
    <row r="736" ht="15.75" customHeight="1">
      <c r="I736" s="324"/>
    </row>
    <row r="737" ht="15.75" customHeight="1">
      <c r="I737" s="324"/>
    </row>
    <row r="738" ht="15.75" customHeight="1">
      <c r="I738" s="324"/>
    </row>
    <row r="739" ht="15.75" customHeight="1">
      <c r="I739" s="324"/>
    </row>
    <row r="740" ht="15.75" customHeight="1">
      <c r="I740" s="324"/>
    </row>
    <row r="741" ht="15.75" customHeight="1">
      <c r="I741" s="324"/>
    </row>
    <row r="742" ht="15.75" customHeight="1">
      <c r="I742" s="324"/>
    </row>
    <row r="743" ht="15.75" customHeight="1">
      <c r="I743" s="324"/>
    </row>
    <row r="744" ht="15.75" customHeight="1">
      <c r="I744" s="324"/>
    </row>
    <row r="745" ht="15.75" customHeight="1">
      <c r="I745" s="324"/>
    </row>
    <row r="746" ht="15.75" customHeight="1">
      <c r="I746" s="324"/>
    </row>
    <row r="747" ht="15.75" customHeight="1">
      <c r="I747" s="324"/>
    </row>
    <row r="748" ht="15.75" customHeight="1">
      <c r="I748" s="324"/>
    </row>
    <row r="749" ht="15.75" customHeight="1">
      <c r="I749" s="324"/>
    </row>
    <row r="750" ht="15.75" customHeight="1">
      <c r="I750" s="324"/>
    </row>
    <row r="751" ht="15.75" customHeight="1">
      <c r="I751" s="324"/>
    </row>
    <row r="752" ht="15.75" customHeight="1">
      <c r="I752" s="324"/>
    </row>
    <row r="753" ht="15.75" customHeight="1">
      <c r="I753" s="324"/>
    </row>
    <row r="754" ht="15.75" customHeight="1">
      <c r="I754" s="324"/>
    </row>
    <row r="755" ht="15.75" customHeight="1">
      <c r="I755" s="324"/>
    </row>
    <row r="756" ht="15.75" customHeight="1">
      <c r="I756" s="324"/>
    </row>
    <row r="757" ht="15.75" customHeight="1">
      <c r="I757" s="324"/>
    </row>
    <row r="758" ht="15.75" customHeight="1">
      <c r="I758" s="324"/>
    </row>
    <row r="759" ht="15.75" customHeight="1">
      <c r="I759" s="324"/>
    </row>
    <row r="760" ht="15.75" customHeight="1">
      <c r="I760" s="324"/>
    </row>
    <row r="761" ht="15.75" customHeight="1">
      <c r="I761" s="324"/>
    </row>
    <row r="762" ht="15.75" customHeight="1">
      <c r="I762" s="324"/>
    </row>
    <row r="763" ht="15.75" customHeight="1">
      <c r="I763" s="324"/>
    </row>
    <row r="764" ht="15.75" customHeight="1">
      <c r="I764" s="324"/>
    </row>
    <row r="765" ht="15.75" customHeight="1">
      <c r="I765" s="324"/>
    </row>
    <row r="766" ht="15.75" customHeight="1">
      <c r="I766" s="324"/>
    </row>
    <row r="767" ht="15.75" customHeight="1">
      <c r="I767" s="324"/>
    </row>
    <row r="768" ht="15.75" customHeight="1">
      <c r="I768" s="324"/>
    </row>
    <row r="769" ht="15.75" customHeight="1">
      <c r="I769" s="324"/>
    </row>
    <row r="770" ht="15.75" customHeight="1">
      <c r="I770" s="324"/>
    </row>
    <row r="771" ht="15.75" customHeight="1">
      <c r="I771" s="324"/>
    </row>
    <row r="772" ht="15.75" customHeight="1">
      <c r="I772" s="324"/>
    </row>
    <row r="773" ht="15.75" customHeight="1">
      <c r="I773" s="324"/>
    </row>
    <row r="774" ht="15.75" customHeight="1">
      <c r="I774" s="324"/>
    </row>
    <row r="775" ht="15.75" customHeight="1">
      <c r="I775" s="324"/>
    </row>
    <row r="776" ht="15.75" customHeight="1">
      <c r="I776" s="324"/>
    </row>
    <row r="777" ht="15.75" customHeight="1">
      <c r="I777" s="324"/>
    </row>
    <row r="778" ht="15.75" customHeight="1">
      <c r="I778" s="324"/>
    </row>
    <row r="779" ht="15.75" customHeight="1">
      <c r="I779" s="324"/>
    </row>
    <row r="780" ht="15.75" customHeight="1">
      <c r="I780" s="324"/>
    </row>
    <row r="781" ht="15.75" customHeight="1">
      <c r="I781" s="324"/>
    </row>
    <row r="782" ht="15.75" customHeight="1">
      <c r="I782" s="324"/>
    </row>
    <row r="783" ht="15.75" customHeight="1">
      <c r="I783" s="324"/>
    </row>
    <row r="784" ht="15.75" customHeight="1">
      <c r="I784" s="324"/>
    </row>
    <row r="785" ht="15.75" customHeight="1">
      <c r="I785" s="324"/>
    </row>
    <row r="786" ht="15.75" customHeight="1">
      <c r="I786" s="324"/>
    </row>
    <row r="787" ht="15.75" customHeight="1">
      <c r="I787" s="324"/>
    </row>
    <row r="788" ht="15.75" customHeight="1">
      <c r="I788" s="324"/>
    </row>
    <row r="789" ht="15.75" customHeight="1">
      <c r="I789" s="324"/>
    </row>
    <row r="790" ht="15.75" customHeight="1">
      <c r="I790" s="324"/>
    </row>
    <row r="791" ht="15.75" customHeight="1">
      <c r="I791" s="324"/>
    </row>
    <row r="792" ht="15.75" customHeight="1">
      <c r="I792" s="324"/>
    </row>
    <row r="793" ht="15.75" customHeight="1">
      <c r="I793" s="324"/>
    </row>
    <row r="794" ht="15.75" customHeight="1">
      <c r="I794" s="324"/>
    </row>
    <row r="795" ht="15.75" customHeight="1">
      <c r="I795" s="324"/>
    </row>
    <row r="796" ht="15.75" customHeight="1">
      <c r="I796" s="324"/>
    </row>
    <row r="797" ht="15.75" customHeight="1">
      <c r="I797" s="324"/>
    </row>
    <row r="798" ht="15.75" customHeight="1">
      <c r="I798" s="324"/>
    </row>
    <row r="799" ht="15.75" customHeight="1">
      <c r="I799" s="324"/>
    </row>
    <row r="800" ht="15.75" customHeight="1">
      <c r="I800" s="324"/>
    </row>
    <row r="801" ht="15.75" customHeight="1">
      <c r="I801" s="324"/>
    </row>
    <row r="802" ht="15.75" customHeight="1">
      <c r="I802" s="324"/>
    </row>
    <row r="803" ht="15.75" customHeight="1">
      <c r="I803" s="324"/>
    </row>
    <row r="804" ht="15.75" customHeight="1">
      <c r="I804" s="324"/>
    </row>
    <row r="805" ht="15.75" customHeight="1">
      <c r="I805" s="324"/>
    </row>
    <row r="806" ht="15.75" customHeight="1">
      <c r="I806" s="324"/>
    </row>
    <row r="807" ht="15.75" customHeight="1">
      <c r="I807" s="324"/>
    </row>
    <row r="808" ht="15.75" customHeight="1">
      <c r="I808" s="324"/>
    </row>
    <row r="809" ht="15.75" customHeight="1">
      <c r="I809" s="324"/>
    </row>
    <row r="810" ht="15.75" customHeight="1">
      <c r="I810" s="324"/>
    </row>
    <row r="811" ht="15.75" customHeight="1">
      <c r="I811" s="324"/>
    </row>
    <row r="812" ht="15.75" customHeight="1">
      <c r="I812" s="324"/>
    </row>
    <row r="813" ht="15.75" customHeight="1">
      <c r="I813" s="324"/>
    </row>
    <row r="814" ht="15.75" customHeight="1">
      <c r="I814" s="324"/>
    </row>
    <row r="815" ht="15.75" customHeight="1">
      <c r="I815" s="324"/>
    </row>
    <row r="816" ht="15.75" customHeight="1">
      <c r="I816" s="324"/>
    </row>
    <row r="817" ht="15.75" customHeight="1">
      <c r="I817" s="324"/>
    </row>
    <row r="818" ht="15.75" customHeight="1">
      <c r="I818" s="324"/>
    </row>
    <row r="819" ht="15.75" customHeight="1">
      <c r="I819" s="324"/>
    </row>
    <row r="820" ht="15.75" customHeight="1">
      <c r="I820" s="324"/>
    </row>
    <row r="821" ht="15.75" customHeight="1">
      <c r="I821" s="324"/>
    </row>
    <row r="822" ht="15.75" customHeight="1">
      <c r="I822" s="324"/>
    </row>
    <row r="823" ht="15.75" customHeight="1">
      <c r="I823" s="324"/>
    </row>
    <row r="824" ht="15.75" customHeight="1">
      <c r="I824" s="324"/>
    </row>
    <row r="825" ht="15.75" customHeight="1">
      <c r="I825" s="324"/>
    </row>
    <row r="826" ht="15.75" customHeight="1">
      <c r="I826" s="324"/>
    </row>
    <row r="827" ht="15.75" customHeight="1">
      <c r="I827" s="324"/>
    </row>
    <row r="828" ht="15.75" customHeight="1">
      <c r="I828" s="324"/>
    </row>
    <row r="829" ht="15.75" customHeight="1">
      <c r="I829" s="324"/>
    </row>
    <row r="830" ht="15.75" customHeight="1">
      <c r="I830" s="324"/>
    </row>
    <row r="831" ht="15.75" customHeight="1">
      <c r="I831" s="324"/>
    </row>
    <row r="832" ht="15.75" customHeight="1">
      <c r="I832" s="324"/>
    </row>
    <row r="833" ht="15.75" customHeight="1">
      <c r="I833" s="324"/>
    </row>
    <row r="834" ht="15.75" customHeight="1">
      <c r="I834" s="324"/>
    </row>
    <row r="835" ht="15.75" customHeight="1">
      <c r="I835" s="324"/>
    </row>
    <row r="836" ht="15.75" customHeight="1">
      <c r="I836" s="324"/>
    </row>
    <row r="837" ht="15.75" customHeight="1">
      <c r="I837" s="324"/>
    </row>
    <row r="838" ht="15.75" customHeight="1">
      <c r="I838" s="324"/>
    </row>
    <row r="839" ht="15.75" customHeight="1">
      <c r="I839" s="324"/>
    </row>
    <row r="840" ht="15.75" customHeight="1">
      <c r="I840" s="324"/>
    </row>
    <row r="841" ht="15.75" customHeight="1">
      <c r="I841" s="324"/>
    </row>
    <row r="842" ht="15.75" customHeight="1">
      <c r="I842" s="324"/>
    </row>
    <row r="843" ht="15.75" customHeight="1">
      <c r="I843" s="324"/>
    </row>
    <row r="844" ht="15.75" customHeight="1">
      <c r="I844" s="324"/>
    </row>
    <row r="845" ht="15.75" customHeight="1">
      <c r="I845" s="324"/>
    </row>
    <row r="846" ht="15.75" customHeight="1">
      <c r="I846" s="324"/>
    </row>
    <row r="847" ht="15.75" customHeight="1">
      <c r="I847" s="324"/>
    </row>
    <row r="848" ht="15.75" customHeight="1">
      <c r="I848" s="324"/>
    </row>
    <row r="849" ht="15.75" customHeight="1">
      <c r="I849" s="324"/>
    </row>
    <row r="850" ht="15.75" customHeight="1">
      <c r="I850" s="324"/>
    </row>
    <row r="851" ht="15.75" customHeight="1">
      <c r="I851" s="324"/>
    </row>
    <row r="852" ht="15.75" customHeight="1">
      <c r="I852" s="324"/>
    </row>
    <row r="853" ht="15.75" customHeight="1">
      <c r="I853" s="324"/>
    </row>
    <row r="854" ht="15.75" customHeight="1">
      <c r="I854" s="324"/>
    </row>
    <row r="855" ht="15.75" customHeight="1">
      <c r="I855" s="324"/>
    </row>
    <row r="856" ht="15.75" customHeight="1">
      <c r="I856" s="324"/>
    </row>
    <row r="857" ht="15.75" customHeight="1">
      <c r="I857" s="324"/>
    </row>
    <row r="858" ht="15.75" customHeight="1">
      <c r="I858" s="324"/>
    </row>
    <row r="859" ht="15.75" customHeight="1">
      <c r="I859" s="324"/>
    </row>
    <row r="860" ht="15.75" customHeight="1">
      <c r="I860" s="324"/>
    </row>
    <row r="861" ht="15.75" customHeight="1">
      <c r="I861" s="324"/>
    </row>
    <row r="862" ht="15.75" customHeight="1">
      <c r="I862" s="324"/>
    </row>
    <row r="863" ht="15.75" customHeight="1">
      <c r="I863" s="324"/>
    </row>
    <row r="864" ht="15.75" customHeight="1">
      <c r="I864" s="324"/>
    </row>
    <row r="865" ht="15.75" customHeight="1">
      <c r="I865" s="324"/>
    </row>
    <row r="866" ht="15.75" customHeight="1">
      <c r="I866" s="324"/>
    </row>
    <row r="867" ht="15.75" customHeight="1">
      <c r="I867" s="324"/>
    </row>
    <row r="868" ht="15.75" customHeight="1">
      <c r="I868" s="324"/>
    </row>
    <row r="869" ht="15.75" customHeight="1">
      <c r="I869" s="324"/>
    </row>
    <row r="870" ht="15.75" customHeight="1">
      <c r="I870" s="324"/>
    </row>
    <row r="871" ht="15.75" customHeight="1">
      <c r="I871" s="324"/>
    </row>
    <row r="872" ht="15.75" customHeight="1">
      <c r="I872" s="324"/>
    </row>
    <row r="873" ht="15.75" customHeight="1">
      <c r="I873" s="324"/>
    </row>
    <row r="874" ht="15.75" customHeight="1">
      <c r="I874" s="324"/>
    </row>
    <row r="875" ht="15.75" customHeight="1">
      <c r="I875" s="324"/>
    </row>
    <row r="876" ht="15.75" customHeight="1">
      <c r="I876" s="324"/>
    </row>
    <row r="877" ht="15.75" customHeight="1">
      <c r="I877" s="324"/>
    </row>
    <row r="878" ht="15.75" customHeight="1">
      <c r="I878" s="324"/>
    </row>
    <row r="879" ht="15.75" customHeight="1">
      <c r="I879" s="324"/>
    </row>
    <row r="880" ht="15.75" customHeight="1">
      <c r="I880" s="324"/>
    </row>
    <row r="881" ht="15.75" customHeight="1">
      <c r="I881" s="324"/>
    </row>
    <row r="882" ht="15.75" customHeight="1">
      <c r="I882" s="324"/>
    </row>
    <row r="883" ht="15.75" customHeight="1">
      <c r="I883" s="324"/>
    </row>
    <row r="884" ht="15.75" customHeight="1">
      <c r="I884" s="324"/>
    </row>
    <row r="885" ht="15.75" customHeight="1">
      <c r="I885" s="324"/>
    </row>
    <row r="886" ht="15.75" customHeight="1">
      <c r="I886" s="324"/>
    </row>
    <row r="887" ht="15.75" customHeight="1">
      <c r="I887" s="324"/>
    </row>
    <row r="888" ht="15.75" customHeight="1">
      <c r="I888" s="324"/>
    </row>
    <row r="889" ht="15.75" customHeight="1">
      <c r="I889" s="324"/>
    </row>
    <row r="890" ht="15.75" customHeight="1">
      <c r="I890" s="324"/>
    </row>
    <row r="891" ht="15.75" customHeight="1">
      <c r="I891" s="324"/>
    </row>
    <row r="892" ht="15.75" customHeight="1">
      <c r="I892" s="324"/>
    </row>
    <row r="893" ht="15.75" customHeight="1">
      <c r="I893" s="324"/>
    </row>
    <row r="894" ht="15.75" customHeight="1">
      <c r="I894" s="324"/>
    </row>
    <row r="895" ht="15.75" customHeight="1">
      <c r="I895" s="324"/>
    </row>
    <row r="896" ht="15.75" customHeight="1">
      <c r="I896" s="324"/>
    </row>
    <row r="897" ht="15.75" customHeight="1">
      <c r="I897" s="324"/>
    </row>
    <row r="898" ht="15.75" customHeight="1">
      <c r="I898" s="324"/>
    </row>
    <row r="899" ht="15.75" customHeight="1">
      <c r="I899" s="324"/>
    </row>
    <row r="900" ht="15.75" customHeight="1">
      <c r="I900" s="324"/>
    </row>
    <row r="901" ht="15.75" customHeight="1">
      <c r="I901" s="324"/>
    </row>
    <row r="902" ht="15.75" customHeight="1">
      <c r="I902" s="324"/>
    </row>
    <row r="903" ht="15.75" customHeight="1">
      <c r="I903" s="324"/>
    </row>
    <row r="904" ht="15.75" customHeight="1">
      <c r="I904" s="324"/>
    </row>
    <row r="905" ht="15.75" customHeight="1">
      <c r="I905" s="324"/>
    </row>
    <row r="906" ht="15.75" customHeight="1">
      <c r="I906" s="324"/>
    </row>
    <row r="907" ht="15.75" customHeight="1">
      <c r="I907" s="324"/>
    </row>
    <row r="908" ht="15.75" customHeight="1">
      <c r="I908" s="324"/>
    </row>
    <row r="909" ht="15.75" customHeight="1">
      <c r="I909" s="324"/>
    </row>
    <row r="910" ht="15.75" customHeight="1">
      <c r="I910" s="324"/>
    </row>
    <row r="911" ht="15.75" customHeight="1">
      <c r="I911" s="324"/>
    </row>
    <row r="912" ht="15.75" customHeight="1">
      <c r="I912" s="324"/>
    </row>
    <row r="913" ht="15.75" customHeight="1">
      <c r="I913" s="324"/>
    </row>
    <row r="914" ht="15.75" customHeight="1">
      <c r="I914" s="324"/>
    </row>
    <row r="915" ht="15.75" customHeight="1">
      <c r="I915" s="324"/>
    </row>
    <row r="916" ht="15.75" customHeight="1">
      <c r="I916" s="324"/>
    </row>
    <row r="917" ht="15.75" customHeight="1">
      <c r="I917" s="324"/>
    </row>
    <row r="918" ht="15.75" customHeight="1">
      <c r="I918" s="324"/>
    </row>
    <row r="919" ht="15.75" customHeight="1">
      <c r="I919" s="324"/>
    </row>
    <row r="920" ht="15.75" customHeight="1">
      <c r="I920" s="324"/>
    </row>
    <row r="921" ht="15.75" customHeight="1">
      <c r="I921" s="324"/>
    </row>
    <row r="922" ht="15.75" customHeight="1">
      <c r="I922" s="324"/>
    </row>
    <row r="923" ht="15.75" customHeight="1">
      <c r="I923" s="324"/>
    </row>
    <row r="924" ht="15.75" customHeight="1">
      <c r="I924" s="324"/>
    </row>
    <row r="925" ht="15.75" customHeight="1">
      <c r="I925" s="324"/>
    </row>
    <row r="926" ht="15.75" customHeight="1">
      <c r="I926" s="324"/>
    </row>
    <row r="927" ht="15.75" customHeight="1">
      <c r="I927" s="324"/>
    </row>
    <row r="928" ht="15.75" customHeight="1">
      <c r="I928" s="324"/>
    </row>
    <row r="929" ht="15.75" customHeight="1">
      <c r="I929" s="324"/>
    </row>
    <row r="930" ht="15.75" customHeight="1">
      <c r="I930" s="324"/>
    </row>
    <row r="931" ht="15.75" customHeight="1">
      <c r="I931" s="324"/>
    </row>
    <row r="932" ht="15.75" customHeight="1">
      <c r="I932" s="324"/>
    </row>
    <row r="933" ht="15.75" customHeight="1">
      <c r="I933" s="324"/>
    </row>
    <row r="934" ht="15.75" customHeight="1">
      <c r="I934" s="324"/>
    </row>
    <row r="935" ht="15.75" customHeight="1">
      <c r="I935" s="324"/>
    </row>
    <row r="936" ht="15.75" customHeight="1">
      <c r="I936" s="324"/>
    </row>
    <row r="937" ht="15.75" customHeight="1">
      <c r="I937" s="324"/>
    </row>
    <row r="938" ht="15.75" customHeight="1">
      <c r="I938" s="324"/>
    </row>
    <row r="939" ht="15.75" customHeight="1">
      <c r="I939" s="324"/>
    </row>
    <row r="940" ht="15.75" customHeight="1">
      <c r="I940" s="324"/>
    </row>
    <row r="941" ht="15.75" customHeight="1">
      <c r="I941" s="324"/>
    </row>
    <row r="942" ht="15.75" customHeight="1">
      <c r="I942" s="324"/>
    </row>
    <row r="943" ht="15.75" customHeight="1">
      <c r="I943" s="324"/>
    </row>
    <row r="944" ht="15.75" customHeight="1">
      <c r="I944" s="324"/>
    </row>
    <row r="945" ht="15.75" customHeight="1">
      <c r="I945" s="324"/>
    </row>
    <row r="946" ht="15.75" customHeight="1">
      <c r="I946" s="324"/>
    </row>
    <row r="947" ht="15.75" customHeight="1">
      <c r="I947" s="324"/>
    </row>
    <row r="948" ht="15.75" customHeight="1">
      <c r="I948" s="324"/>
    </row>
    <row r="949" ht="15.75" customHeight="1">
      <c r="I949" s="324"/>
    </row>
    <row r="950" ht="15.75" customHeight="1">
      <c r="I950" s="324"/>
    </row>
    <row r="951" ht="15.75" customHeight="1">
      <c r="I951" s="324"/>
    </row>
    <row r="952" ht="15.75" customHeight="1">
      <c r="I952" s="324"/>
    </row>
    <row r="953" ht="15.75" customHeight="1">
      <c r="I953" s="324"/>
    </row>
    <row r="954" ht="15.75" customHeight="1">
      <c r="I954" s="324"/>
    </row>
    <row r="955" ht="15.75" customHeight="1">
      <c r="I955" s="324"/>
    </row>
    <row r="956" ht="15.75" customHeight="1">
      <c r="I956" s="324"/>
    </row>
    <row r="957" ht="15.75" customHeight="1">
      <c r="I957" s="324"/>
    </row>
    <row r="958" ht="15.75" customHeight="1">
      <c r="I958" s="324"/>
    </row>
    <row r="959" ht="15.75" customHeight="1">
      <c r="I959" s="324"/>
    </row>
    <row r="960" ht="15.75" customHeight="1">
      <c r="I960" s="324"/>
    </row>
    <row r="961" ht="15.75" customHeight="1">
      <c r="I961" s="324"/>
    </row>
    <row r="962" ht="15.75" customHeight="1">
      <c r="I962" s="324"/>
    </row>
    <row r="963" ht="15.75" customHeight="1">
      <c r="I963" s="324"/>
    </row>
    <row r="964" ht="15.75" customHeight="1">
      <c r="I964" s="324"/>
    </row>
    <row r="965" ht="15.75" customHeight="1">
      <c r="I965" s="324"/>
    </row>
    <row r="966" ht="15.75" customHeight="1">
      <c r="I966" s="324"/>
    </row>
    <row r="967" ht="15.75" customHeight="1">
      <c r="I967" s="324"/>
    </row>
    <row r="968" ht="15.75" customHeight="1">
      <c r="I968" s="324"/>
    </row>
    <row r="969" ht="15.75" customHeight="1">
      <c r="I969" s="324"/>
    </row>
    <row r="970" ht="15.75" customHeight="1">
      <c r="I970" s="324"/>
    </row>
    <row r="971" ht="15.75" customHeight="1">
      <c r="I971" s="324"/>
    </row>
    <row r="972" ht="15.75" customHeight="1">
      <c r="I972" s="324"/>
    </row>
    <row r="973" ht="15.75" customHeight="1">
      <c r="I973" s="324"/>
    </row>
    <row r="974" ht="15.75" customHeight="1">
      <c r="I974" s="324"/>
    </row>
    <row r="975" ht="15.75" customHeight="1">
      <c r="I975" s="324"/>
    </row>
    <row r="976" ht="15.75" customHeight="1">
      <c r="I976" s="324"/>
    </row>
    <row r="977" ht="15.75" customHeight="1">
      <c r="I977" s="324"/>
    </row>
    <row r="978" ht="15.75" customHeight="1">
      <c r="I978" s="324"/>
    </row>
    <row r="979" ht="15.75" customHeight="1">
      <c r="I979" s="324"/>
    </row>
    <row r="980" ht="15.75" customHeight="1">
      <c r="I980" s="324"/>
    </row>
    <row r="981" ht="15.75" customHeight="1">
      <c r="I981" s="324"/>
    </row>
    <row r="982" ht="15.75" customHeight="1">
      <c r="I982" s="324"/>
    </row>
    <row r="983" ht="15.75" customHeight="1">
      <c r="I983" s="324"/>
    </row>
    <row r="984" ht="15.75" customHeight="1">
      <c r="I984" s="324"/>
    </row>
    <row r="985" ht="15.75" customHeight="1">
      <c r="I985" s="324"/>
    </row>
    <row r="986" ht="15.75" customHeight="1">
      <c r="I986" s="324"/>
    </row>
    <row r="987" ht="15.75" customHeight="1">
      <c r="I987" s="324"/>
    </row>
    <row r="988" ht="15.75" customHeight="1">
      <c r="I988" s="324"/>
    </row>
    <row r="989" ht="15.75" customHeight="1">
      <c r="I989" s="324"/>
    </row>
    <row r="990" ht="15.75" customHeight="1">
      <c r="I990" s="324"/>
    </row>
    <row r="991" ht="15.75" customHeight="1">
      <c r="I991" s="324"/>
    </row>
    <row r="992" ht="15.75" customHeight="1">
      <c r="I992" s="324"/>
    </row>
    <row r="993" ht="15.75" customHeight="1">
      <c r="I993" s="324"/>
    </row>
    <row r="994" ht="15.75" customHeight="1">
      <c r="I994" s="324"/>
    </row>
  </sheetData>
  <printOptions/>
  <pageMargins bottom="0.75" footer="0.0" header="0.0" left="0.7" right="0.7" top="0.75"/>
  <pageSetup paperSize="9" orientation="portrait"/>
  <headerFooter>
    <oddFooter>&amp;RGenerated by Treasury Financial Planning | Internal Use Only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5.0"/>
    <col customWidth="1" min="3" max="3" width="16.5"/>
    <col customWidth="1" min="4" max="4" width="7.75"/>
    <col customWidth="1" min="5" max="5" width="5.25"/>
    <col customWidth="1" min="6" max="6" width="7.25"/>
    <col customWidth="1" min="7" max="7" width="5.88"/>
    <col customWidth="1" min="8" max="8" width="17.75"/>
    <col customWidth="1" min="9" max="9" width="3.5"/>
    <col customWidth="1" hidden="1" min="10" max="10" width="23.5"/>
    <col customWidth="1" hidden="1" min="11" max="11" width="16.5"/>
    <col customWidth="1" hidden="1" min="12" max="12" width="7.75"/>
    <col customWidth="1" hidden="1" min="13" max="13" width="7.0"/>
    <col customWidth="1" hidden="1" min="14" max="14" width="7.25"/>
    <col customWidth="1" hidden="1" min="15" max="15" width="6.0"/>
    <col customWidth="1" hidden="1" min="16" max="16" width="17.5"/>
    <col customWidth="1" hidden="1" min="17" max="18" width="12.5"/>
    <col customWidth="1" min="19" max="26" width="12.5"/>
  </cols>
  <sheetData>
    <row r="1" ht="15.75" hidden="1" customHeight="1">
      <c r="A1" s="143"/>
      <c r="B1" s="143"/>
      <c r="C1" s="143"/>
      <c r="D1" s="143"/>
      <c r="F1" s="143"/>
      <c r="G1" s="143"/>
      <c r="H1" s="143"/>
      <c r="I1" s="291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5.75" hidden="1" customHeight="1">
      <c r="A2" s="143"/>
      <c r="B2" s="143"/>
      <c r="C2" s="143"/>
      <c r="D2" s="143"/>
      <c r="E2" s="143"/>
      <c r="F2" s="143"/>
      <c r="G2" s="143"/>
      <c r="H2" s="143"/>
      <c r="I2" s="291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5.75" hidden="1" customHeight="1">
      <c r="A3" s="143"/>
      <c r="B3" s="143"/>
      <c r="C3" s="143"/>
      <c r="D3" s="143"/>
      <c r="E3" s="143"/>
      <c r="F3" s="143"/>
      <c r="G3" s="143"/>
      <c r="H3" s="143"/>
      <c r="I3" s="291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5.75" hidden="1" customHeight="1">
      <c r="A4" s="143"/>
      <c r="B4" s="133" t="s">
        <v>377</v>
      </c>
      <c r="C4" s="143"/>
      <c r="D4" s="143"/>
      <c r="E4" s="143"/>
      <c r="F4" s="143"/>
      <c r="G4" s="143"/>
      <c r="H4" s="143"/>
      <c r="I4" s="324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5.75" hidden="1" customHeight="1">
      <c r="A5" s="143"/>
      <c r="B5" s="133" t="s">
        <v>378</v>
      </c>
      <c r="C5" s="143"/>
      <c r="D5" s="143"/>
      <c r="E5" s="143"/>
      <c r="G5" s="254" t="s">
        <v>379</v>
      </c>
      <c r="H5" s="292">
        <f>TODAY()</f>
        <v>46109</v>
      </c>
      <c r="I5" s="324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5.75" hidden="1" customHeight="1">
      <c r="A6" s="143"/>
      <c r="C6" s="143"/>
      <c r="D6" s="143"/>
      <c r="E6" s="143"/>
      <c r="F6" s="143"/>
      <c r="G6" s="143"/>
      <c r="H6" s="143"/>
      <c r="I6" s="324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5.75" hidden="1" customHeight="1">
      <c r="A7" s="256"/>
      <c r="B7" s="133" t="s">
        <v>380</v>
      </c>
      <c r="C7" s="143"/>
      <c r="D7" s="143"/>
      <c r="E7" s="143"/>
      <c r="F7" s="143"/>
      <c r="G7" s="143"/>
      <c r="H7" s="143"/>
      <c r="I7" s="324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5.75" hidden="1" customHeight="1">
      <c r="A8" s="256"/>
      <c r="B8" s="258" t="s">
        <v>401</v>
      </c>
      <c r="C8" s="259"/>
      <c r="D8" s="259"/>
      <c r="E8" s="259"/>
      <c r="F8" s="259"/>
      <c r="G8" s="260"/>
      <c r="H8" s="259"/>
      <c r="I8" s="324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5.75" hidden="1" customHeight="1">
      <c r="A9" s="256"/>
      <c r="B9" s="293"/>
      <c r="C9" s="294" t="s">
        <v>395</v>
      </c>
      <c r="D9" s="295" t="s">
        <v>51</v>
      </c>
      <c r="E9" s="295" t="s">
        <v>197</v>
      </c>
      <c r="F9" s="294" t="s">
        <v>396</v>
      </c>
      <c r="G9" s="294" t="s">
        <v>397</v>
      </c>
      <c r="H9" s="296" t="s">
        <v>398</v>
      </c>
      <c r="I9" s="324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5.75" hidden="1" customHeight="1">
      <c r="A10" s="256"/>
      <c r="B10" s="325" t="s">
        <v>402</v>
      </c>
      <c r="C10" s="298">
        <v>1000.0</v>
      </c>
      <c r="D10" s="299">
        <v>0.105</v>
      </c>
      <c r="E10" s="300">
        <v>30.0</v>
      </c>
      <c r="F10" s="301">
        <f>C10*(D10*E10/C23)</f>
        <v>8.630136986</v>
      </c>
      <c r="G10" s="301">
        <f>F10*20%</f>
        <v>1.726027397</v>
      </c>
      <c r="H10" s="302">
        <f>F10-G10</f>
        <v>6.904109589</v>
      </c>
      <c r="I10" s="324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5.75" hidden="1" customHeight="1">
      <c r="A11" s="143"/>
      <c r="B11" s="326"/>
      <c r="C11" s="327"/>
      <c r="D11" s="327"/>
      <c r="E11" s="327"/>
      <c r="F11" s="316">
        <f>F10/C10</f>
        <v>0.008630136986</v>
      </c>
      <c r="G11" s="316"/>
      <c r="H11" s="317">
        <f>H10/C10</f>
        <v>0.006904109589</v>
      </c>
      <c r="I11" s="324"/>
      <c r="J11" s="143"/>
      <c r="K11" s="290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5.75" hidden="1" customHeight="1">
      <c r="A12" s="256"/>
      <c r="B12" s="261" t="s">
        <v>387</v>
      </c>
      <c r="C12" s="306"/>
      <c r="D12" s="306"/>
      <c r="E12" s="307"/>
      <c r="F12" s="308"/>
      <c r="G12" s="309"/>
      <c r="H12" s="310">
        <f>H11*(365/E10)</f>
        <v>0.084</v>
      </c>
      <c r="I12" s="324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5.75" hidden="1" customHeight="1">
      <c r="A13" s="256"/>
      <c r="B13" s="265"/>
      <c r="C13" s="265"/>
      <c r="D13" s="265"/>
      <c r="E13" s="265"/>
      <c r="F13" s="265"/>
      <c r="G13" s="265"/>
      <c r="H13" s="265"/>
      <c r="I13" s="324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5.75" hidden="1" customHeight="1">
      <c r="A14" s="256"/>
      <c r="B14" s="258" t="s">
        <v>388</v>
      </c>
      <c r="C14" s="259"/>
      <c r="D14" s="259"/>
      <c r="E14" s="259"/>
      <c r="F14" s="276"/>
      <c r="G14" s="259"/>
      <c r="H14" s="259"/>
      <c r="I14" s="324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5.75" hidden="1" customHeight="1">
      <c r="A15" s="256"/>
      <c r="B15" s="311"/>
      <c r="C15" s="294" t="s">
        <v>395</v>
      </c>
      <c r="D15" s="294" t="s">
        <v>51</v>
      </c>
      <c r="E15" s="294" t="s">
        <v>197</v>
      </c>
      <c r="F15" s="294" t="s">
        <v>396</v>
      </c>
      <c r="G15" s="294" t="s">
        <v>397</v>
      </c>
      <c r="H15" s="296" t="s">
        <v>398</v>
      </c>
      <c r="I15" s="324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5.75" hidden="1" customHeight="1">
      <c r="A16" s="256"/>
      <c r="B16" s="277" t="s">
        <v>390</v>
      </c>
      <c r="C16" s="328">
        <v>1000.0</v>
      </c>
      <c r="D16" s="329">
        <v>0.1025</v>
      </c>
      <c r="E16" s="330">
        <v>30.0</v>
      </c>
      <c r="F16" s="331">
        <f>C16*(D16*E16/C23)</f>
        <v>8.424657534</v>
      </c>
      <c r="G16" s="331">
        <f>F16*20%</f>
        <v>1.684931507</v>
      </c>
      <c r="H16" s="332">
        <f>F16-G16</f>
        <v>6.739726027</v>
      </c>
      <c r="I16" s="324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5.75" hidden="1" customHeight="1">
      <c r="A17" s="143"/>
      <c r="B17" s="326"/>
      <c r="C17" s="327"/>
      <c r="D17" s="327"/>
      <c r="E17" s="327"/>
      <c r="F17" s="316">
        <f>F16/C16</f>
        <v>0.008424657534</v>
      </c>
      <c r="G17" s="316"/>
      <c r="H17" s="317">
        <f>H16/C16</f>
        <v>0.006739726027</v>
      </c>
      <c r="I17" s="324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5.75" hidden="1" customHeight="1">
      <c r="A18" s="256"/>
      <c r="B18" s="282" t="s">
        <v>387</v>
      </c>
      <c r="C18" s="318"/>
      <c r="D18" s="318"/>
      <c r="E18" s="319"/>
      <c r="F18" s="308"/>
      <c r="G18" s="309"/>
      <c r="H18" s="310">
        <f>H17*(365/E16)</f>
        <v>0.082</v>
      </c>
      <c r="I18" s="324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5.75" hidden="1" customHeight="1">
      <c r="A19" s="256"/>
      <c r="B19" s="284"/>
      <c r="C19" s="284"/>
      <c r="D19" s="265"/>
      <c r="E19" s="265"/>
      <c r="F19" s="265"/>
      <c r="G19" s="265"/>
      <c r="H19" s="265"/>
      <c r="I19" s="324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5.75" hidden="1" customHeight="1">
      <c r="A20" s="143"/>
      <c r="B20" s="285" t="s">
        <v>391</v>
      </c>
      <c r="C20" s="286">
        <f>D10-D16</f>
        <v>0.0025</v>
      </c>
      <c r="D20" s="287"/>
      <c r="E20" s="288"/>
      <c r="G20" s="288"/>
      <c r="I20" s="324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5.75" hidden="1" customHeight="1">
      <c r="A21" s="143"/>
      <c r="B21" s="285" t="s">
        <v>392</v>
      </c>
      <c r="C21" s="286">
        <f>H12-H18</f>
        <v>0.002</v>
      </c>
      <c r="D21" s="257"/>
      <c r="E21" s="143"/>
      <c r="F21" s="143"/>
      <c r="G21" s="143"/>
      <c r="H21" s="143"/>
      <c r="I21" s="324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5.75" hidden="1" customHeight="1">
      <c r="A22" s="143"/>
      <c r="B22" s="143"/>
      <c r="C22" s="143"/>
      <c r="D22" s="143"/>
      <c r="E22" s="143"/>
      <c r="F22" s="143"/>
      <c r="G22" s="143"/>
      <c r="H22" s="143"/>
      <c r="I22" s="324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5.75" hidden="1" customHeight="1">
      <c r="A23" s="143"/>
      <c r="B23" s="320" t="s">
        <v>393</v>
      </c>
      <c r="C23" s="320">
        <v>365.0</v>
      </c>
      <c r="D23" s="143"/>
      <c r="E23" s="143"/>
      <c r="F23" s="143"/>
      <c r="G23" s="143"/>
      <c r="H23" s="143"/>
      <c r="I23" s="324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5.75" hidden="1" customHeight="1">
      <c r="A24" s="143"/>
      <c r="B24" s="321" t="s">
        <v>400</v>
      </c>
      <c r="C24" s="143"/>
      <c r="D24" s="143"/>
      <c r="F24" s="143"/>
      <c r="G24" s="143"/>
      <c r="H24" s="143"/>
      <c r="I24" s="324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5.75" hidden="1" customHeight="1">
      <c r="A25" s="143"/>
      <c r="B25" s="143"/>
      <c r="C25" s="143"/>
      <c r="D25" s="143"/>
      <c r="E25" s="143"/>
      <c r="F25" s="143"/>
      <c r="G25" s="143"/>
      <c r="H25" s="143"/>
      <c r="I25" s="291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5.75" hidden="1" customHeight="1">
      <c r="A26" s="143"/>
      <c r="B26" s="143"/>
      <c r="C26" s="143"/>
      <c r="D26" s="143"/>
      <c r="E26" s="143"/>
      <c r="F26" s="143"/>
      <c r="G26" s="290"/>
      <c r="H26" s="143"/>
      <c r="I26" s="291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5.75" hidden="1" customHeight="1">
      <c r="A27" s="143"/>
      <c r="B27" s="143"/>
      <c r="C27" s="143"/>
      <c r="D27" s="143"/>
      <c r="E27" s="143"/>
      <c r="F27" s="143"/>
      <c r="G27" s="143"/>
      <c r="H27" s="143"/>
      <c r="I27" s="291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5.75" hidden="1" customHeight="1">
      <c r="A28" s="143"/>
      <c r="B28" s="143"/>
      <c r="C28" s="143"/>
      <c r="D28" s="143"/>
      <c r="E28" s="143"/>
      <c r="F28" s="143"/>
      <c r="G28" s="143"/>
      <c r="H28" s="143"/>
      <c r="I28" s="291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5.75" hidden="1" customHeight="1">
      <c r="A29" s="143"/>
      <c r="B29" s="143"/>
      <c r="C29" s="143"/>
      <c r="D29" s="143"/>
      <c r="E29" s="143"/>
      <c r="F29" s="143"/>
      <c r="G29" s="143"/>
      <c r="H29" s="143"/>
      <c r="I29" s="291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5.75" hidden="1" customHeight="1">
      <c r="A30" s="143"/>
      <c r="B30" s="143"/>
      <c r="C30" s="143"/>
      <c r="D30" s="143"/>
      <c r="E30" s="143"/>
      <c r="F30" s="143"/>
      <c r="G30" s="143"/>
      <c r="H30" s="143"/>
      <c r="I30" s="291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5.75" hidden="1" customHeight="1">
      <c r="A31" s="143"/>
      <c r="B31" s="143"/>
      <c r="C31" s="143"/>
      <c r="D31" s="143"/>
      <c r="E31" s="143"/>
      <c r="F31" s="143"/>
      <c r="G31" s="143"/>
      <c r="H31" s="143"/>
      <c r="I31" s="291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5.75" hidden="1" customHeight="1">
      <c r="A32" s="143"/>
      <c r="B32" s="143"/>
      <c r="C32" s="143"/>
      <c r="D32" s="143"/>
      <c r="E32" s="143"/>
      <c r="F32" s="143"/>
      <c r="G32" s="143"/>
      <c r="H32" s="143"/>
      <c r="I32" s="291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5.75" hidden="1" customHeight="1">
      <c r="A33" s="143"/>
      <c r="B33" s="143"/>
      <c r="C33" s="143"/>
      <c r="D33" s="143"/>
      <c r="E33" s="143"/>
      <c r="F33" s="143"/>
      <c r="G33" s="143"/>
      <c r="H33" s="143"/>
      <c r="I33" s="291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5.75" hidden="1" customHeight="1">
      <c r="A34" s="143"/>
      <c r="B34" s="143"/>
      <c r="C34" s="143"/>
      <c r="D34" s="143"/>
      <c r="E34" s="143"/>
      <c r="F34" s="143"/>
      <c r="G34" s="143"/>
      <c r="H34" s="143"/>
      <c r="I34" s="291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5.75" hidden="1" customHeight="1">
      <c r="A35" s="143"/>
      <c r="B35" s="143"/>
      <c r="C35" s="143"/>
      <c r="D35" s="143"/>
      <c r="E35" s="143"/>
      <c r="F35" s="143"/>
      <c r="G35" s="143"/>
      <c r="H35" s="143"/>
      <c r="I35" s="291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5.75" hidden="1" customHeight="1">
      <c r="A36" s="143"/>
      <c r="B36" s="143"/>
      <c r="C36" s="143"/>
      <c r="D36" s="143"/>
      <c r="E36" s="143"/>
      <c r="F36" s="143"/>
      <c r="G36" s="143"/>
      <c r="H36" s="143"/>
      <c r="I36" s="291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5.75" hidden="1" customHeight="1">
      <c r="A37" s="143"/>
      <c r="B37" s="143"/>
      <c r="C37" s="143"/>
      <c r="D37" s="143"/>
      <c r="E37" s="143"/>
      <c r="F37" s="143"/>
      <c r="G37" s="143"/>
      <c r="H37" s="143"/>
      <c r="I37" s="291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5.75" hidden="1" customHeight="1">
      <c r="A38" s="143"/>
      <c r="B38" s="143"/>
      <c r="C38" s="143"/>
      <c r="D38" s="143"/>
      <c r="E38" s="143"/>
      <c r="F38" s="143"/>
      <c r="G38" s="143"/>
      <c r="H38" s="143"/>
      <c r="I38" s="291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5.75" hidden="1" customHeight="1">
      <c r="A39" s="143"/>
      <c r="B39" s="143"/>
      <c r="C39" s="143"/>
      <c r="D39" s="143"/>
      <c r="E39" s="143"/>
      <c r="F39" s="143"/>
      <c r="G39" s="143"/>
      <c r="H39" s="143"/>
      <c r="I39" s="291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5.75" hidden="1" customHeight="1">
      <c r="A40" s="143"/>
      <c r="B40" s="143"/>
      <c r="C40" s="143"/>
      <c r="D40" s="143"/>
      <c r="E40" s="143"/>
      <c r="F40" s="143"/>
      <c r="G40" s="143"/>
      <c r="H40" s="143"/>
      <c r="I40" s="291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5.75" hidden="1" customHeight="1">
      <c r="A41" s="143"/>
      <c r="B41" s="143"/>
      <c r="C41" s="143"/>
      <c r="D41" s="143"/>
      <c r="E41" s="143"/>
      <c r="F41" s="143"/>
      <c r="G41" s="143"/>
      <c r="H41" s="143"/>
      <c r="I41" s="291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5.75" hidden="1" customHeight="1">
      <c r="A42" s="143"/>
      <c r="B42" s="143"/>
      <c r="C42" s="143"/>
      <c r="D42" s="143"/>
      <c r="E42" s="143"/>
      <c r="F42" s="143"/>
      <c r="G42" s="143"/>
      <c r="H42" s="143"/>
      <c r="I42" s="291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5.75" hidden="1" customHeight="1">
      <c r="A43" s="143"/>
      <c r="B43" s="143"/>
      <c r="C43" s="143"/>
      <c r="D43" s="143"/>
      <c r="E43" s="143"/>
      <c r="F43" s="143"/>
      <c r="G43" s="143"/>
      <c r="H43" s="143"/>
      <c r="I43" s="291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5.75" hidden="1" customHeight="1">
      <c r="A44" s="143"/>
      <c r="B44" s="143"/>
      <c r="C44" s="143"/>
      <c r="D44" s="143"/>
      <c r="E44" s="143"/>
      <c r="F44" s="143"/>
      <c r="G44" s="143"/>
      <c r="H44" s="143"/>
      <c r="I44" s="291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5.75" hidden="1" customHeight="1">
      <c r="A45" s="143"/>
      <c r="B45" s="143"/>
      <c r="C45" s="143"/>
      <c r="D45" s="143"/>
      <c r="E45" s="143"/>
      <c r="F45" s="143"/>
      <c r="G45" s="143"/>
      <c r="H45" s="143"/>
      <c r="I45" s="291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5.75" hidden="1" customHeight="1">
      <c r="A46" s="143"/>
      <c r="B46" s="143"/>
      <c r="C46" s="143"/>
      <c r="D46" s="143"/>
      <c r="E46" s="143"/>
      <c r="F46" s="143"/>
      <c r="G46" s="143"/>
      <c r="H46" s="143"/>
      <c r="I46" s="291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5.75" hidden="1" customHeight="1">
      <c r="A47" s="143"/>
      <c r="B47" s="143"/>
      <c r="C47" s="143"/>
      <c r="D47" s="143"/>
      <c r="E47" s="143"/>
      <c r="F47" s="143"/>
      <c r="G47" s="143"/>
      <c r="H47" s="143"/>
      <c r="I47" s="291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5.75" hidden="1" customHeight="1">
      <c r="A48" s="143"/>
      <c r="B48" s="143"/>
      <c r="C48" s="143"/>
      <c r="D48" s="143"/>
      <c r="E48" s="143"/>
      <c r="F48" s="143"/>
      <c r="G48" s="143"/>
      <c r="H48" s="143"/>
      <c r="I48" s="291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5.75" customHeight="1">
      <c r="A49" s="143"/>
      <c r="B49" s="143"/>
      <c r="C49" s="143"/>
      <c r="D49" s="143"/>
      <c r="E49" s="143"/>
      <c r="F49" s="143"/>
      <c r="G49" s="143"/>
      <c r="H49" s="143"/>
      <c r="I49" s="291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5.75" customHeight="1">
      <c r="A50" s="143"/>
      <c r="B50" s="143"/>
      <c r="C50" s="143"/>
      <c r="D50" s="143"/>
      <c r="E50" s="143"/>
      <c r="F50" s="143"/>
      <c r="G50" s="143"/>
      <c r="H50" s="143"/>
      <c r="I50" s="291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5.75" customHeight="1">
      <c r="A51" s="143"/>
      <c r="B51" s="143"/>
      <c r="C51" s="143"/>
      <c r="D51" s="143"/>
      <c r="E51" s="143"/>
      <c r="F51" s="143"/>
      <c r="G51" s="143"/>
      <c r="H51" s="143"/>
      <c r="I51" s="291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5.75" customHeight="1">
      <c r="A52" s="143"/>
      <c r="B52" s="133" t="s">
        <v>377</v>
      </c>
      <c r="C52" s="143"/>
      <c r="D52" s="143"/>
      <c r="E52" s="143"/>
      <c r="F52" s="143"/>
      <c r="G52" s="143"/>
      <c r="H52" s="143"/>
      <c r="I52" s="291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5.75" customHeight="1">
      <c r="A53" s="143"/>
      <c r="B53" s="133" t="s">
        <v>378</v>
      </c>
      <c r="C53" s="143"/>
      <c r="D53" s="143"/>
      <c r="E53" s="143"/>
      <c r="G53" s="254" t="s">
        <v>379</v>
      </c>
      <c r="H53" s="292">
        <f>today()</f>
        <v>46109</v>
      </c>
      <c r="I53" s="291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5.75" customHeight="1">
      <c r="A54" s="143"/>
      <c r="B54" s="143"/>
      <c r="C54" s="143"/>
      <c r="D54" s="143"/>
      <c r="E54" s="143"/>
      <c r="F54" s="143"/>
      <c r="G54" s="143"/>
      <c r="H54" s="334"/>
      <c r="I54" s="291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5.75" customHeight="1">
      <c r="A55" s="143"/>
      <c r="B55" s="133" t="s">
        <v>380</v>
      </c>
      <c r="C55" s="143"/>
      <c r="D55" s="143"/>
      <c r="E55" s="143"/>
      <c r="F55" s="143"/>
      <c r="G55" s="143"/>
      <c r="H55" s="143"/>
      <c r="I55" s="291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62"/>
      <c r="U55" s="143"/>
      <c r="V55" s="143"/>
      <c r="W55" s="143"/>
      <c r="X55" s="143"/>
      <c r="Y55" s="143"/>
      <c r="Z55" s="143"/>
    </row>
    <row r="56" ht="15.75" customHeight="1">
      <c r="A56" s="143"/>
      <c r="B56" s="335" t="s">
        <v>404</v>
      </c>
      <c r="C56" s="259"/>
      <c r="D56" s="259"/>
      <c r="E56" s="259"/>
      <c r="F56" s="259"/>
      <c r="G56" s="260"/>
      <c r="H56" s="259"/>
      <c r="I56" s="291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336"/>
      <c r="U56" s="143"/>
      <c r="V56" s="143"/>
      <c r="W56" s="143"/>
      <c r="X56" s="143"/>
      <c r="Y56" s="143"/>
      <c r="Z56" s="143"/>
    </row>
    <row r="57">
      <c r="A57" s="143"/>
      <c r="B57" s="293"/>
      <c r="C57" s="294" t="s">
        <v>395</v>
      </c>
      <c r="D57" s="295" t="s">
        <v>51</v>
      </c>
      <c r="E57" s="295" t="s">
        <v>197</v>
      </c>
      <c r="F57" s="294" t="s">
        <v>396</v>
      </c>
      <c r="G57" s="294" t="s">
        <v>397</v>
      </c>
      <c r="H57" s="296" t="s">
        <v>398</v>
      </c>
      <c r="I57" s="291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3"/>
      <c r="B58" s="337" t="s">
        <v>142</v>
      </c>
      <c r="C58" s="298">
        <f>C67</f>
        <v>1303</v>
      </c>
      <c r="D58" s="333">
        <v>0.105</v>
      </c>
      <c r="E58" s="338">
        <v>30.0</v>
      </c>
      <c r="F58" s="301">
        <f>C58*(D58*E58/C72)</f>
        <v>11.24506849</v>
      </c>
      <c r="G58" s="301">
        <f>F58*25%</f>
        <v>2.811267123</v>
      </c>
      <c r="H58" s="302">
        <f>F58-G58</f>
        <v>8.43380137</v>
      </c>
      <c r="I58" s="291"/>
      <c r="J58" s="143"/>
      <c r="K58" s="337"/>
      <c r="L58" s="298"/>
      <c r="M58" s="333"/>
      <c r="N58" s="338"/>
      <c r="O58" s="301"/>
      <c r="P58" s="301"/>
      <c r="Q58" s="302"/>
      <c r="R58" s="143"/>
      <c r="S58" s="143"/>
      <c r="T58" s="143"/>
      <c r="U58" s="143"/>
      <c r="V58" s="143"/>
      <c r="W58" s="143"/>
      <c r="X58" s="143"/>
      <c r="Y58" s="143"/>
      <c r="Z58" s="143"/>
    </row>
    <row r="59" ht="15.75" customHeight="1">
      <c r="A59" s="143"/>
      <c r="B59" s="269"/>
      <c r="C59" s="303"/>
      <c r="D59" s="303"/>
      <c r="E59" s="303"/>
      <c r="F59" s="304">
        <f>F58/C58</f>
        <v>0.008630136986</v>
      </c>
      <c r="G59" s="304"/>
      <c r="H59" s="305">
        <f>H58/C58</f>
        <v>0.00647260274</v>
      </c>
      <c r="I59" s="291"/>
      <c r="J59" s="143"/>
      <c r="K59" s="143"/>
      <c r="L59" s="143"/>
      <c r="M59" s="143"/>
      <c r="N59" s="143"/>
      <c r="O59" s="143"/>
      <c r="P59" s="143"/>
      <c r="Q59" s="290"/>
      <c r="R59" s="143"/>
      <c r="S59" s="143"/>
      <c r="T59" s="162"/>
      <c r="U59" s="143"/>
      <c r="V59" s="143"/>
      <c r="W59" s="143"/>
      <c r="X59" s="143"/>
      <c r="Y59" s="143"/>
      <c r="Z59" s="143"/>
    </row>
    <row r="60" ht="15.75" customHeight="1">
      <c r="A60" s="143"/>
      <c r="B60" s="339" t="s">
        <v>405</v>
      </c>
      <c r="C60" s="306"/>
      <c r="D60" s="306"/>
      <c r="E60" s="307"/>
      <c r="F60" s="308"/>
      <c r="G60" s="309"/>
      <c r="H60" s="310">
        <f>H59*(365/E58)</f>
        <v>0.07875</v>
      </c>
      <c r="I60" s="291"/>
      <c r="J60" s="143"/>
      <c r="K60" s="143"/>
      <c r="L60" s="143"/>
      <c r="M60" s="143"/>
      <c r="N60" s="143"/>
      <c r="O60" s="143"/>
      <c r="P60" s="143"/>
      <c r="Q60" s="290"/>
      <c r="R60" s="143"/>
      <c r="S60" s="143"/>
      <c r="T60" s="336"/>
      <c r="U60" s="143"/>
      <c r="V60" s="143"/>
      <c r="W60" s="143"/>
      <c r="X60" s="143"/>
      <c r="Y60" s="143"/>
      <c r="Z60" s="143"/>
    </row>
    <row r="61" ht="15.75" customHeight="1">
      <c r="A61" s="143"/>
      <c r="B61" s="265"/>
      <c r="C61" s="265"/>
      <c r="D61" s="265"/>
      <c r="E61" s="265"/>
      <c r="F61" s="265"/>
      <c r="G61" s="265"/>
      <c r="H61" s="265"/>
      <c r="I61" s="291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5.75" customHeight="1">
      <c r="A62" s="143"/>
      <c r="B62" s="258" t="s">
        <v>388</v>
      </c>
      <c r="C62" s="259"/>
      <c r="D62" s="259"/>
      <c r="E62" s="259"/>
      <c r="F62" s="276"/>
      <c r="G62" s="259"/>
      <c r="H62" s="259"/>
      <c r="I62" s="291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5.75" customHeight="1">
      <c r="A63" s="143"/>
      <c r="B63" s="311"/>
      <c r="C63" s="294" t="s">
        <v>395</v>
      </c>
      <c r="D63" s="294" t="s">
        <v>51</v>
      </c>
      <c r="E63" s="294" t="s">
        <v>197</v>
      </c>
      <c r="F63" s="294" t="s">
        <v>396</v>
      </c>
      <c r="G63" s="294" t="s">
        <v>397</v>
      </c>
      <c r="H63" s="296" t="s">
        <v>398</v>
      </c>
      <c r="I63" s="291"/>
      <c r="J63" s="143"/>
      <c r="K63" s="143"/>
      <c r="L63" s="143"/>
      <c r="M63" s="143"/>
      <c r="N63" s="143"/>
      <c r="O63" s="143"/>
      <c r="P63" s="143"/>
      <c r="Q63" s="143"/>
      <c r="R63" s="143"/>
      <c r="S63" s="340"/>
      <c r="T63" s="143"/>
      <c r="U63" s="143"/>
      <c r="V63" s="143"/>
      <c r="W63" s="143"/>
      <c r="X63" s="143"/>
      <c r="Y63" s="143"/>
      <c r="Z63" s="143"/>
    </row>
    <row r="64" ht="15.75" customHeight="1">
      <c r="A64" s="341"/>
      <c r="B64" s="277" t="s">
        <v>390</v>
      </c>
      <c r="C64" s="342">
        <v>170.0</v>
      </c>
      <c r="D64" s="343">
        <v>0.1025</v>
      </c>
      <c r="E64" s="344">
        <v>30.0</v>
      </c>
      <c r="F64" s="345">
        <f>C64*(D64*E64/C72)</f>
        <v>1.432191781</v>
      </c>
      <c r="G64" s="345">
        <f>F64*29%</f>
        <v>0.4153356164</v>
      </c>
      <c r="H64" s="346">
        <f t="shared" ref="H64:H66" si="1">F64-G64</f>
        <v>1.016856164</v>
      </c>
      <c r="I64" s="347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5.75" customHeight="1">
      <c r="A65" s="341"/>
      <c r="B65" s="348" t="s">
        <v>406</v>
      </c>
      <c r="C65" s="349">
        <v>823.0</v>
      </c>
      <c r="D65" s="350">
        <v>0.08869999999999999</v>
      </c>
      <c r="E65" s="351">
        <v>30.0</v>
      </c>
      <c r="F65" s="352">
        <f>C65*(D65*E65/C72)</f>
        <v>6.000008219</v>
      </c>
      <c r="G65" s="353">
        <f t="shared" ref="G65:G66" si="2">F65*25%</f>
        <v>1.500002055</v>
      </c>
      <c r="H65" s="354">
        <f t="shared" si="1"/>
        <v>4.500006164</v>
      </c>
      <c r="I65" s="347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5.75" customHeight="1">
      <c r="A66" s="341"/>
      <c r="B66" s="355" t="s">
        <v>140</v>
      </c>
      <c r="C66" s="356">
        <v>310.0</v>
      </c>
      <c r="D66" s="357">
        <v>0.092</v>
      </c>
      <c r="E66" s="358">
        <v>30.0</v>
      </c>
      <c r="F66" s="353">
        <f>C66*(D66*E66/C72)</f>
        <v>2.344109589</v>
      </c>
      <c r="G66" s="359">
        <f t="shared" si="2"/>
        <v>0.5860273973</v>
      </c>
      <c r="H66" s="354">
        <f t="shared" si="1"/>
        <v>1.758082192</v>
      </c>
      <c r="I66" s="291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5.75" customHeight="1">
      <c r="A67" s="341"/>
      <c r="B67" s="360"/>
      <c r="C67" s="361">
        <f>C64+C65+C66</f>
        <v>1303</v>
      </c>
      <c r="D67" s="362"/>
      <c r="E67" s="363"/>
      <c r="F67" s="363"/>
      <c r="G67" s="363"/>
      <c r="H67" s="364">
        <f>(H64+H65+H66)/C67</f>
        <v>0.0055832268</v>
      </c>
      <c r="I67" s="347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5.75" customHeight="1">
      <c r="A68" s="143"/>
      <c r="B68" s="339" t="s">
        <v>407</v>
      </c>
      <c r="C68" s="318"/>
      <c r="D68" s="318"/>
      <c r="E68" s="319"/>
      <c r="F68" s="308"/>
      <c r="G68" s="309"/>
      <c r="H68" s="310">
        <f>H67*(365/E66)</f>
        <v>0.0679292594</v>
      </c>
      <c r="I68" s="291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5.75" customHeight="1">
      <c r="A69" s="143"/>
      <c r="B69" s="284"/>
      <c r="C69" s="284"/>
      <c r="D69" s="265"/>
      <c r="E69" s="265"/>
      <c r="F69" s="265"/>
      <c r="G69" s="265"/>
      <c r="H69" s="265"/>
      <c r="I69" s="291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5.75" customHeight="1">
      <c r="A70" s="143"/>
      <c r="B70" s="365" t="s">
        <v>392</v>
      </c>
      <c r="C70" s="286">
        <f>D58-D64</f>
        <v>0.0025</v>
      </c>
      <c r="D70" s="287"/>
      <c r="E70" s="288"/>
      <c r="G70" s="288"/>
      <c r="I70" s="291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5.75" customHeight="1">
      <c r="A71" s="143"/>
      <c r="B71" s="365" t="s">
        <v>408</v>
      </c>
      <c r="C71" s="286">
        <f>H60-H68</f>
        <v>0.0108207406</v>
      </c>
      <c r="D71" s="143"/>
      <c r="E71" s="143"/>
      <c r="F71" s="143"/>
      <c r="G71" s="143"/>
      <c r="H71" s="143"/>
      <c r="I71" s="291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5.75" customHeight="1">
      <c r="A72" s="143"/>
      <c r="B72" s="320" t="s">
        <v>393</v>
      </c>
      <c r="C72" s="320">
        <v>365.0</v>
      </c>
      <c r="D72" s="143"/>
      <c r="E72" s="143"/>
      <c r="F72" s="143"/>
      <c r="G72" s="143"/>
      <c r="H72" s="143"/>
      <c r="I72" s="29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5.75" customHeight="1">
      <c r="A73" s="143"/>
      <c r="B73" s="321" t="s">
        <v>400</v>
      </c>
      <c r="C73" s="143"/>
      <c r="D73" s="143"/>
      <c r="F73" s="143"/>
      <c r="G73" s="143"/>
      <c r="H73" s="143"/>
      <c r="I73" s="29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29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5.75" customHeight="1">
      <c r="A75" s="143"/>
      <c r="B75" s="143"/>
      <c r="C75" s="143"/>
      <c r="D75" s="143"/>
      <c r="E75" s="143"/>
      <c r="F75" s="143"/>
      <c r="G75" s="143"/>
      <c r="H75" s="143"/>
      <c r="I75" s="29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5.75" customHeight="1">
      <c r="A76" s="143"/>
      <c r="B76" s="133"/>
      <c r="C76" s="145"/>
      <c r="D76" s="143"/>
      <c r="E76" s="143"/>
      <c r="F76" s="143"/>
      <c r="G76" s="143"/>
      <c r="H76" s="143"/>
      <c r="I76" s="29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5.75" customHeight="1">
      <c r="A77" s="143"/>
      <c r="B77" s="133"/>
      <c r="C77" s="323"/>
      <c r="D77" s="143"/>
      <c r="E77" s="143"/>
      <c r="F77" s="143"/>
      <c r="G77" s="143"/>
      <c r="H77" s="143"/>
      <c r="I77" s="291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291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291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291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291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62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291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291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291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291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291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291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291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291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291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291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291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291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291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291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291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291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291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291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291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291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291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291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291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291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291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291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291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291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291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291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291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291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291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291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291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291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291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291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291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291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291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291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291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291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291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291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291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291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291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291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291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291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291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291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291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291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291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291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291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291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291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291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291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291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291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291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291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291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291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291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291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291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291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291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291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291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291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291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291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291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291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291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291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291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291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291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291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291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291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291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291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291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291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291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291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291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291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291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291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291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291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291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291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291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291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291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291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291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291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291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291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291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291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291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291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291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291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291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291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291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291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291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291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291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291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291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291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291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291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291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291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291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291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291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291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291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291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291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291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291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291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291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5.75" customHeight="1">
      <c r="A224" s="143"/>
      <c r="B224" s="143"/>
      <c r="C224" s="143"/>
      <c r="D224" s="143"/>
      <c r="E224" s="143"/>
      <c r="F224" s="143"/>
      <c r="G224" s="143"/>
      <c r="H224" s="143"/>
      <c r="I224" s="291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5.75" customHeight="1">
      <c r="A225" s="143"/>
      <c r="B225" s="143"/>
      <c r="C225" s="143"/>
      <c r="D225" s="143"/>
      <c r="E225" s="143"/>
      <c r="F225" s="143"/>
      <c r="G225" s="143"/>
      <c r="H225" s="143"/>
      <c r="I225" s="291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5.75" customHeight="1">
      <c r="A226" s="143"/>
      <c r="B226" s="143"/>
      <c r="C226" s="143"/>
      <c r="D226" s="143"/>
      <c r="E226" s="143"/>
      <c r="F226" s="143"/>
      <c r="G226" s="143"/>
      <c r="H226" s="143"/>
      <c r="I226" s="291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5.75" customHeight="1">
      <c r="A227" s="143"/>
      <c r="B227" s="143"/>
      <c r="C227" s="143"/>
      <c r="D227" s="143"/>
      <c r="E227" s="143"/>
      <c r="F227" s="143"/>
      <c r="G227" s="143"/>
      <c r="H227" s="143"/>
      <c r="I227" s="291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5.75" customHeight="1">
      <c r="A228" s="143"/>
      <c r="B228" s="143"/>
      <c r="C228" s="143"/>
      <c r="D228" s="143"/>
      <c r="E228" s="143"/>
      <c r="F228" s="143"/>
      <c r="G228" s="143"/>
      <c r="H228" s="143"/>
      <c r="I228" s="291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5.75" customHeight="1">
      <c r="A229" s="143"/>
      <c r="B229" s="143"/>
      <c r="C229" s="143"/>
      <c r="D229" s="143"/>
      <c r="E229" s="143"/>
      <c r="F229" s="143"/>
      <c r="G229" s="143"/>
      <c r="H229" s="143"/>
      <c r="I229" s="291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5.75" customHeight="1">
      <c r="A230" s="143"/>
      <c r="B230" s="143"/>
      <c r="C230" s="143"/>
      <c r="D230" s="143"/>
      <c r="E230" s="143"/>
      <c r="F230" s="143"/>
      <c r="G230" s="143"/>
      <c r="H230" s="143"/>
      <c r="I230" s="291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5.75" customHeight="1">
      <c r="A231" s="143"/>
      <c r="B231" s="143"/>
      <c r="C231" s="143"/>
      <c r="D231" s="143"/>
      <c r="E231" s="143"/>
      <c r="F231" s="143"/>
      <c r="G231" s="143"/>
      <c r="H231" s="143"/>
      <c r="I231" s="291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5.75" customHeight="1">
      <c r="A232" s="143"/>
      <c r="B232" s="143"/>
      <c r="C232" s="143"/>
      <c r="D232" s="143"/>
      <c r="E232" s="143"/>
      <c r="F232" s="143"/>
      <c r="G232" s="143"/>
      <c r="H232" s="143"/>
      <c r="I232" s="291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5.75" customHeight="1">
      <c r="A233" s="143"/>
      <c r="B233" s="143"/>
      <c r="C233" s="143"/>
      <c r="D233" s="143"/>
      <c r="E233" s="143"/>
      <c r="F233" s="143"/>
      <c r="G233" s="143"/>
      <c r="H233" s="143"/>
      <c r="I233" s="291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5.75" customHeight="1">
      <c r="A234" s="143"/>
      <c r="B234" s="143"/>
      <c r="C234" s="143"/>
      <c r="D234" s="143"/>
      <c r="E234" s="143"/>
      <c r="F234" s="143"/>
      <c r="G234" s="143"/>
      <c r="H234" s="143"/>
      <c r="I234" s="291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5.75" customHeight="1">
      <c r="A235" s="143"/>
      <c r="B235" s="143"/>
      <c r="C235" s="143"/>
      <c r="D235" s="143"/>
      <c r="E235" s="143"/>
      <c r="F235" s="143"/>
      <c r="G235" s="143"/>
      <c r="H235" s="143"/>
      <c r="I235" s="291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5.75" customHeight="1">
      <c r="A236" s="143"/>
      <c r="B236" s="143"/>
      <c r="C236" s="143"/>
      <c r="D236" s="143"/>
      <c r="E236" s="143"/>
      <c r="F236" s="143"/>
      <c r="G236" s="143"/>
      <c r="H236" s="143"/>
      <c r="I236" s="291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5.75" customHeight="1">
      <c r="A237" s="143"/>
      <c r="B237" s="143"/>
      <c r="C237" s="143"/>
      <c r="D237" s="143"/>
      <c r="E237" s="143"/>
      <c r="F237" s="143"/>
      <c r="G237" s="143"/>
      <c r="H237" s="143"/>
      <c r="I237" s="291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5.75" customHeight="1">
      <c r="A238" s="143"/>
      <c r="B238" s="143"/>
      <c r="C238" s="143"/>
      <c r="D238" s="143"/>
      <c r="E238" s="143"/>
      <c r="F238" s="143"/>
      <c r="G238" s="143"/>
      <c r="H238" s="143"/>
      <c r="I238" s="291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5.75" customHeight="1">
      <c r="A239" s="143"/>
      <c r="B239" s="143"/>
      <c r="C239" s="143"/>
      <c r="D239" s="143"/>
      <c r="E239" s="143"/>
      <c r="F239" s="143"/>
      <c r="G239" s="143"/>
      <c r="H239" s="143"/>
      <c r="I239" s="291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5.75" customHeight="1">
      <c r="A240" s="143"/>
      <c r="B240" s="143"/>
      <c r="C240" s="143"/>
      <c r="D240" s="143"/>
      <c r="E240" s="143"/>
      <c r="F240" s="143"/>
      <c r="G240" s="143"/>
      <c r="H240" s="143"/>
      <c r="I240" s="291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5.75" customHeight="1">
      <c r="A241" s="143"/>
      <c r="B241" s="143"/>
      <c r="C241" s="143"/>
      <c r="D241" s="143"/>
      <c r="E241" s="143"/>
      <c r="F241" s="143"/>
      <c r="G241" s="143"/>
      <c r="H241" s="143"/>
      <c r="I241" s="291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5.75" customHeight="1">
      <c r="A242" s="143"/>
      <c r="B242" s="143"/>
      <c r="C242" s="143"/>
      <c r="D242" s="143"/>
      <c r="E242" s="143"/>
      <c r="F242" s="143"/>
      <c r="G242" s="143"/>
      <c r="H242" s="143"/>
      <c r="I242" s="291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291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291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91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91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91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291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291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291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291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291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291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291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291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291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291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291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291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291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291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291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291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291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291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291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291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291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291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291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291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291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291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5.75" customHeight="1">
      <c r="A274" s="143"/>
      <c r="B274" s="143"/>
      <c r="C274" s="143"/>
      <c r="D274" s="143"/>
      <c r="E274" s="143"/>
      <c r="F274" s="143"/>
      <c r="G274" s="143"/>
      <c r="H274" s="143"/>
      <c r="I274" s="291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5.75" customHeight="1">
      <c r="A275" s="143"/>
      <c r="B275" s="143"/>
      <c r="C275" s="143"/>
      <c r="D275" s="143"/>
      <c r="E275" s="143"/>
      <c r="F275" s="143"/>
      <c r="G275" s="143"/>
      <c r="H275" s="143"/>
      <c r="I275" s="291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5.75" customHeight="1">
      <c r="A276" s="143"/>
      <c r="B276" s="143"/>
      <c r="C276" s="143"/>
      <c r="D276" s="143"/>
      <c r="E276" s="143"/>
      <c r="F276" s="143"/>
      <c r="G276" s="143"/>
      <c r="H276" s="143"/>
      <c r="I276" s="291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5.75" customHeight="1">
      <c r="A277" s="143"/>
      <c r="B277" s="143"/>
      <c r="C277" s="143"/>
      <c r="D277" s="143"/>
      <c r="E277" s="143"/>
      <c r="F277" s="143"/>
      <c r="G277" s="143"/>
      <c r="H277" s="143"/>
      <c r="I277" s="291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5.75" customHeight="1">
      <c r="I278" s="324"/>
    </row>
    <row r="279" ht="15.75" customHeight="1">
      <c r="I279" s="324"/>
    </row>
    <row r="280" ht="15.75" customHeight="1">
      <c r="I280" s="324"/>
    </row>
    <row r="281" ht="15.75" customHeight="1">
      <c r="I281" s="324"/>
    </row>
    <row r="282" ht="15.75" customHeight="1">
      <c r="I282" s="324"/>
    </row>
    <row r="283" ht="15.75" customHeight="1">
      <c r="I283" s="324"/>
    </row>
    <row r="284" ht="15.75" customHeight="1">
      <c r="I284" s="324"/>
    </row>
    <row r="285" ht="15.75" customHeight="1">
      <c r="I285" s="324"/>
    </row>
    <row r="286" ht="15.75" customHeight="1">
      <c r="I286" s="324"/>
    </row>
    <row r="287" ht="15.75" customHeight="1">
      <c r="I287" s="324"/>
    </row>
    <row r="288" ht="15.75" customHeight="1">
      <c r="I288" s="324"/>
    </row>
    <row r="289" ht="15.75" customHeight="1">
      <c r="I289" s="324"/>
    </row>
    <row r="290" ht="15.75" customHeight="1">
      <c r="I290" s="324"/>
    </row>
    <row r="291" ht="15.75" customHeight="1">
      <c r="I291" s="324"/>
    </row>
    <row r="292" ht="15.75" customHeight="1">
      <c r="I292" s="324"/>
    </row>
    <row r="293" ht="15.75" customHeight="1">
      <c r="I293" s="324"/>
    </row>
    <row r="294" ht="15.75" customHeight="1">
      <c r="I294" s="324"/>
    </row>
    <row r="295" ht="15.75" customHeight="1">
      <c r="I295" s="324"/>
    </row>
    <row r="296" ht="15.75" customHeight="1">
      <c r="I296" s="324"/>
    </row>
    <row r="297" ht="15.75" customHeight="1">
      <c r="I297" s="324"/>
    </row>
    <row r="298" ht="15.75" customHeight="1">
      <c r="I298" s="324"/>
    </row>
    <row r="299" ht="15.75" customHeight="1">
      <c r="I299" s="324"/>
    </row>
    <row r="300" ht="15.75" customHeight="1">
      <c r="I300" s="324"/>
    </row>
    <row r="301" ht="15.75" customHeight="1">
      <c r="I301" s="324"/>
    </row>
    <row r="302" ht="15.75" customHeight="1">
      <c r="I302" s="324"/>
    </row>
    <row r="303" ht="15.75" customHeight="1">
      <c r="I303" s="324"/>
    </row>
    <row r="304" ht="15.75" customHeight="1">
      <c r="I304" s="324"/>
    </row>
    <row r="305" ht="15.75" customHeight="1">
      <c r="I305" s="324"/>
    </row>
    <row r="306" ht="15.75" customHeight="1">
      <c r="I306" s="324"/>
    </row>
    <row r="307" ht="15.75" customHeight="1">
      <c r="I307" s="324"/>
    </row>
    <row r="308" ht="15.75" customHeight="1">
      <c r="I308" s="324"/>
    </row>
    <row r="309" ht="15.75" customHeight="1">
      <c r="I309" s="324"/>
    </row>
    <row r="310" ht="15.75" customHeight="1">
      <c r="I310" s="324"/>
    </row>
    <row r="311" ht="15.75" customHeight="1">
      <c r="I311" s="324"/>
    </row>
    <row r="312" ht="15.75" customHeight="1">
      <c r="I312" s="324"/>
    </row>
    <row r="313" ht="15.75" customHeight="1">
      <c r="I313" s="324"/>
    </row>
    <row r="314" ht="15.75" customHeight="1">
      <c r="I314" s="324"/>
    </row>
    <row r="315" ht="15.75" customHeight="1">
      <c r="I315" s="324"/>
    </row>
    <row r="316" ht="15.75" customHeight="1">
      <c r="I316" s="324"/>
    </row>
    <row r="317" ht="15.75" customHeight="1">
      <c r="I317" s="324"/>
    </row>
    <row r="318" ht="15.75" customHeight="1">
      <c r="I318" s="324"/>
    </row>
    <row r="319" ht="15.75" customHeight="1">
      <c r="I319" s="324"/>
    </row>
    <row r="320" ht="15.75" customHeight="1">
      <c r="I320" s="324"/>
    </row>
    <row r="321" ht="15.75" customHeight="1">
      <c r="I321" s="324"/>
    </row>
    <row r="322" ht="15.75" customHeight="1">
      <c r="I322" s="324"/>
    </row>
    <row r="323" ht="15.75" customHeight="1">
      <c r="I323" s="324"/>
    </row>
    <row r="324" ht="15.75" customHeight="1">
      <c r="I324" s="324"/>
    </row>
    <row r="325" ht="15.75" customHeight="1">
      <c r="I325" s="324"/>
    </row>
    <row r="326" ht="15.75" customHeight="1">
      <c r="I326" s="324"/>
    </row>
    <row r="327" ht="15.75" customHeight="1">
      <c r="I327" s="324"/>
    </row>
    <row r="328" ht="15.75" customHeight="1">
      <c r="I328" s="324"/>
    </row>
    <row r="329" ht="15.75" customHeight="1">
      <c r="I329" s="324"/>
    </row>
    <row r="330" ht="15.75" customHeight="1">
      <c r="I330" s="324"/>
    </row>
    <row r="331" ht="15.75" customHeight="1">
      <c r="I331" s="324"/>
    </row>
    <row r="332" ht="15.75" customHeight="1">
      <c r="I332" s="324"/>
    </row>
    <row r="333" ht="15.75" customHeight="1">
      <c r="I333" s="324"/>
    </row>
    <row r="334" ht="15.75" customHeight="1">
      <c r="I334" s="324"/>
    </row>
    <row r="335" ht="15.75" customHeight="1">
      <c r="I335" s="324"/>
    </row>
    <row r="336" ht="15.75" customHeight="1">
      <c r="I336" s="324"/>
    </row>
    <row r="337" ht="15.75" customHeight="1">
      <c r="I337" s="324"/>
    </row>
    <row r="338" ht="15.75" customHeight="1">
      <c r="I338" s="324"/>
    </row>
    <row r="339" ht="15.75" customHeight="1">
      <c r="I339" s="324"/>
    </row>
    <row r="340" ht="15.75" customHeight="1">
      <c r="I340" s="324"/>
    </row>
    <row r="341" ht="15.75" customHeight="1">
      <c r="I341" s="324"/>
    </row>
    <row r="342" ht="15.75" customHeight="1">
      <c r="I342" s="324"/>
    </row>
    <row r="343" ht="15.75" customHeight="1">
      <c r="I343" s="324"/>
    </row>
    <row r="344" ht="15.75" customHeight="1">
      <c r="I344" s="324"/>
    </row>
    <row r="345" ht="15.75" customHeight="1">
      <c r="I345" s="324"/>
    </row>
    <row r="346" ht="15.75" customHeight="1">
      <c r="I346" s="324"/>
    </row>
    <row r="347" ht="15.75" customHeight="1">
      <c r="I347" s="324"/>
    </row>
    <row r="348" ht="15.75" customHeight="1">
      <c r="I348" s="324"/>
    </row>
    <row r="349" ht="15.75" customHeight="1">
      <c r="I349" s="324"/>
    </row>
    <row r="350" ht="15.75" customHeight="1">
      <c r="I350" s="324"/>
    </row>
    <row r="351" ht="15.75" customHeight="1">
      <c r="I351" s="324"/>
    </row>
    <row r="352" ht="15.75" customHeight="1">
      <c r="I352" s="324"/>
    </row>
    <row r="353" ht="15.75" customHeight="1">
      <c r="I353" s="324"/>
    </row>
    <row r="354" ht="15.75" customHeight="1">
      <c r="I354" s="324"/>
    </row>
    <row r="355" ht="15.75" customHeight="1">
      <c r="I355" s="324"/>
    </row>
    <row r="356" ht="15.75" customHeight="1">
      <c r="I356" s="324"/>
    </row>
    <row r="357" ht="15.75" customHeight="1">
      <c r="I357" s="324"/>
    </row>
    <row r="358" ht="15.75" customHeight="1">
      <c r="I358" s="324"/>
    </row>
    <row r="359" ht="15.75" customHeight="1">
      <c r="I359" s="324"/>
    </row>
    <row r="360" ht="15.75" customHeight="1">
      <c r="I360" s="324"/>
    </row>
    <row r="361" ht="15.75" customHeight="1">
      <c r="I361" s="324"/>
    </row>
    <row r="362" ht="15.75" customHeight="1">
      <c r="I362" s="324"/>
    </row>
    <row r="363" ht="15.75" customHeight="1">
      <c r="I363" s="324"/>
    </row>
    <row r="364" ht="15.75" customHeight="1">
      <c r="I364" s="324"/>
    </row>
    <row r="365" ht="15.75" customHeight="1">
      <c r="I365" s="324"/>
    </row>
    <row r="366" ht="15.75" customHeight="1">
      <c r="I366" s="324"/>
    </row>
    <row r="367" ht="15.75" customHeight="1">
      <c r="I367" s="324"/>
    </row>
    <row r="368" ht="15.75" customHeight="1">
      <c r="I368" s="324"/>
    </row>
    <row r="369" ht="15.75" customHeight="1">
      <c r="I369" s="324"/>
    </row>
    <row r="370" ht="15.75" customHeight="1">
      <c r="I370" s="324"/>
    </row>
    <row r="371" ht="15.75" customHeight="1">
      <c r="I371" s="324"/>
    </row>
    <row r="372" ht="15.75" customHeight="1">
      <c r="I372" s="324"/>
    </row>
    <row r="373" ht="15.75" customHeight="1">
      <c r="I373" s="324"/>
    </row>
    <row r="374" ht="15.75" customHeight="1">
      <c r="I374" s="324"/>
    </row>
    <row r="375" ht="15.75" customHeight="1">
      <c r="I375" s="324"/>
    </row>
    <row r="376" ht="15.75" customHeight="1">
      <c r="I376" s="324"/>
    </row>
    <row r="377" ht="15.75" customHeight="1">
      <c r="I377" s="324"/>
    </row>
    <row r="378" ht="15.75" customHeight="1">
      <c r="I378" s="324"/>
    </row>
    <row r="379" ht="15.75" customHeight="1">
      <c r="I379" s="324"/>
    </row>
    <row r="380" ht="15.75" customHeight="1">
      <c r="I380" s="324"/>
    </row>
    <row r="381" ht="15.75" customHeight="1">
      <c r="I381" s="324"/>
    </row>
    <row r="382" ht="15.75" customHeight="1">
      <c r="I382" s="324"/>
    </row>
    <row r="383" ht="15.75" customHeight="1">
      <c r="I383" s="324"/>
    </row>
    <row r="384" ht="15.75" customHeight="1">
      <c r="I384" s="324"/>
    </row>
    <row r="385" ht="15.75" customHeight="1">
      <c r="I385" s="324"/>
    </row>
    <row r="386" ht="15.75" customHeight="1">
      <c r="I386" s="324"/>
    </row>
    <row r="387" ht="15.75" customHeight="1">
      <c r="I387" s="324"/>
    </row>
    <row r="388" ht="15.75" customHeight="1">
      <c r="I388" s="324"/>
    </row>
    <row r="389" ht="15.75" customHeight="1">
      <c r="I389" s="324"/>
    </row>
    <row r="390" ht="15.75" customHeight="1">
      <c r="I390" s="324"/>
    </row>
    <row r="391" ht="15.75" customHeight="1">
      <c r="I391" s="324"/>
    </row>
    <row r="392" ht="15.75" customHeight="1">
      <c r="I392" s="324"/>
    </row>
    <row r="393" ht="15.75" customHeight="1">
      <c r="I393" s="324"/>
    </row>
    <row r="394" ht="15.75" customHeight="1">
      <c r="I394" s="324"/>
    </row>
    <row r="395" ht="15.75" customHeight="1">
      <c r="I395" s="324"/>
    </row>
    <row r="396" ht="15.75" customHeight="1">
      <c r="I396" s="324"/>
    </row>
    <row r="397" ht="15.75" customHeight="1">
      <c r="I397" s="324"/>
    </row>
    <row r="398" ht="15.75" customHeight="1">
      <c r="I398" s="324"/>
    </row>
    <row r="399" ht="15.75" customHeight="1">
      <c r="I399" s="324"/>
    </row>
    <row r="400" ht="15.75" customHeight="1">
      <c r="I400" s="324"/>
    </row>
    <row r="401" ht="15.75" customHeight="1">
      <c r="I401" s="324"/>
    </row>
    <row r="402" ht="15.75" customHeight="1">
      <c r="I402" s="324"/>
    </row>
    <row r="403" ht="15.75" customHeight="1">
      <c r="I403" s="324"/>
    </row>
    <row r="404" ht="15.75" customHeight="1">
      <c r="I404" s="324"/>
    </row>
    <row r="405" ht="15.75" customHeight="1">
      <c r="I405" s="324"/>
    </row>
    <row r="406" ht="15.75" customHeight="1">
      <c r="I406" s="324"/>
    </row>
    <row r="407" ht="15.75" customHeight="1">
      <c r="I407" s="324"/>
    </row>
    <row r="408" ht="15.75" customHeight="1">
      <c r="I408" s="324"/>
    </row>
    <row r="409" ht="15.75" customHeight="1">
      <c r="I409" s="324"/>
    </row>
    <row r="410" ht="15.75" customHeight="1">
      <c r="I410" s="324"/>
    </row>
    <row r="411" ht="15.75" customHeight="1">
      <c r="I411" s="324"/>
    </row>
    <row r="412" ht="15.75" customHeight="1">
      <c r="I412" s="324"/>
    </row>
    <row r="413" ht="15.75" customHeight="1">
      <c r="I413" s="324"/>
    </row>
    <row r="414" ht="15.75" customHeight="1">
      <c r="I414" s="324"/>
    </row>
    <row r="415" ht="15.75" customHeight="1">
      <c r="I415" s="324"/>
    </row>
    <row r="416" ht="15.75" customHeight="1">
      <c r="I416" s="324"/>
    </row>
    <row r="417" ht="15.75" customHeight="1">
      <c r="I417" s="324"/>
    </row>
    <row r="418" ht="15.75" customHeight="1">
      <c r="I418" s="324"/>
    </row>
    <row r="419" ht="15.75" customHeight="1">
      <c r="I419" s="324"/>
    </row>
    <row r="420" ht="15.75" customHeight="1">
      <c r="I420" s="324"/>
    </row>
    <row r="421" ht="15.75" customHeight="1">
      <c r="I421" s="324"/>
    </row>
    <row r="422" ht="15.75" customHeight="1">
      <c r="I422" s="324"/>
    </row>
    <row r="423" ht="15.75" customHeight="1">
      <c r="I423" s="324"/>
    </row>
    <row r="424" ht="15.75" customHeight="1">
      <c r="I424" s="324"/>
    </row>
    <row r="425" ht="15.75" customHeight="1">
      <c r="I425" s="324"/>
    </row>
    <row r="426" ht="15.75" customHeight="1">
      <c r="I426" s="324"/>
    </row>
    <row r="427" ht="15.75" customHeight="1">
      <c r="I427" s="324"/>
    </row>
    <row r="428" ht="15.75" customHeight="1">
      <c r="I428" s="324"/>
    </row>
    <row r="429" ht="15.75" customHeight="1">
      <c r="I429" s="324"/>
    </row>
    <row r="430" ht="15.75" customHeight="1">
      <c r="I430" s="324"/>
    </row>
    <row r="431" ht="15.75" customHeight="1">
      <c r="I431" s="324"/>
    </row>
    <row r="432" ht="15.75" customHeight="1">
      <c r="I432" s="324"/>
    </row>
    <row r="433" ht="15.75" customHeight="1">
      <c r="I433" s="324"/>
    </row>
    <row r="434" ht="15.75" customHeight="1">
      <c r="I434" s="324"/>
    </row>
    <row r="435" ht="15.75" customHeight="1">
      <c r="I435" s="324"/>
    </row>
    <row r="436" ht="15.75" customHeight="1">
      <c r="I436" s="324"/>
    </row>
    <row r="437" ht="15.75" customHeight="1">
      <c r="I437" s="324"/>
    </row>
    <row r="438" ht="15.75" customHeight="1">
      <c r="I438" s="324"/>
    </row>
    <row r="439" ht="15.75" customHeight="1">
      <c r="I439" s="324"/>
    </row>
    <row r="440" ht="15.75" customHeight="1">
      <c r="I440" s="324"/>
    </row>
    <row r="441" ht="15.75" customHeight="1">
      <c r="I441" s="324"/>
    </row>
    <row r="442" ht="15.75" customHeight="1">
      <c r="I442" s="324"/>
    </row>
    <row r="443" ht="15.75" customHeight="1">
      <c r="I443" s="324"/>
    </row>
    <row r="444" ht="15.75" customHeight="1">
      <c r="I444" s="324"/>
    </row>
    <row r="445" ht="15.75" customHeight="1">
      <c r="I445" s="324"/>
    </row>
    <row r="446" ht="15.75" customHeight="1">
      <c r="I446" s="324"/>
    </row>
    <row r="447" ht="15.75" customHeight="1">
      <c r="I447" s="324"/>
    </row>
    <row r="448" ht="15.75" customHeight="1">
      <c r="I448" s="324"/>
    </row>
    <row r="449" ht="15.75" customHeight="1">
      <c r="I449" s="324"/>
    </row>
    <row r="450" ht="15.75" customHeight="1">
      <c r="I450" s="324"/>
    </row>
    <row r="451" ht="15.75" customHeight="1">
      <c r="I451" s="324"/>
    </row>
    <row r="452" ht="15.75" customHeight="1">
      <c r="I452" s="324"/>
    </row>
    <row r="453" ht="15.75" customHeight="1">
      <c r="I453" s="324"/>
    </row>
    <row r="454" ht="15.75" customHeight="1">
      <c r="I454" s="324"/>
    </row>
    <row r="455" ht="15.75" customHeight="1">
      <c r="I455" s="324"/>
    </row>
    <row r="456" ht="15.75" customHeight="1">
      <c r="I456" s="324"/>
    </row>
    <row r="457" ht="15.75" customHeight="1">
      <c r="I457" s="324"/>
    </row>
    <row r="458" ht="15.75" customHeight="1">
      <c r="I458" s="324"/>
    </row>
    <row r="459" ht="15.75" customHeight="1">
      <c r="I459" s="324"/>
    </row>
    <row r="460" ht="15.75" customHeight="1">
      <c r="I460" s="324"/>
    </row>
    <row r="461" ht="15.75" customHeight="1">
      <c r="I461" s="324"/>
    </row>
    <row r="462" ht="15.75" customHeight="1">
      <c r="I462" s="324"/>
    </row>
    <row r="463" ht="15.75" customHeight="1">
      <c r="I463" s="324"/>
    </row>
    <row r="464" ht="15.75" customHeight="1">
      <c r="I464" s="324"/>
    </row>
    <row r="465" ht="15.75" customHeight="1">
      <c r="I465" s="324"/>
    </row>
    <row r="466" ht="15.75" customHeight="1">
      <c r="I466" s="324"/>
    </row>
    <row r="467" ht="15.75" customHeight="1">
      <c r="I467" s="324"/>
    </row>
    <row r="468" ht="15.75" customHeight="1">
      <c r="I468" s="324"/>
    </row>
    <row r="469" ht="15.75" customHeight="1">
      <c r="I469" s="324"/>
    </row>
    <row r="470" ht="15.75" customHeight="1">
      <c r="I470" s="324"/>
    </row>
    <row r="471" ht="15.75" customHeight="1">
      <c r="I471" s="324"/>
    </row>
    <row r="472" ht="15.75" customHeight="1">
      <c r="I472" s="324"/>
    </row>
    <row r="473" ht="15.75" customHeight="1">
      <c r="I473" s="324"/>
    </row>
    <row r="474" ht="15.75" customHeight="1">
      <c r="I474" s="324"/>
    </row>
    <row r="475" ht="15.75" customHeight="1">
      <c r="I475" s="324"/>
    </row>
    <row r="476" ht="15.75" customHeight="1">
      <c r="I476" s="324"/>
    </row>
    <row r="477" ht="15.75" customHeight="1">
      <c r="I477" s="324"/>
    </row>
    <row r="478" ht="15.75" customHeight="1">
      <c r="I478" s="324"/>
    </row>
    <row r="479" ht="15.75" customHeight="1">
      <c r="I479" s="324"/>
    </row>
    <row r="480" ht="15.75" customHeight="1">
      <c r="I480" s="324"/>
    </row>
    <row r="481" ht="15.75" customHeight="1">
      <c r="I481" s="324"/>
    </row>
    <row r="482" ht="15.75" customHeight="1">
      <c r="I482" s="324"/>
    </row>
    <row r="483" ht="15.75" customHeight="1">
      <c r="I483" s="324"/>
    </row>
    <row r="484" ht="15.75" customHeight="1">
      <c r="I484" s="324"/>
    </row>
    <row r="485" ht="15.75" customHeight="1">
      <c r="I485" s="324"/>
    </row>
    <row r="486" ht="15.75" customHeight="1">
      <c r="I486" s="324"/>
    </row>
    <row r="487" ht="15.75" customHeight="1">
      <c r="I487" s="324"/>
    </row>
    <row r="488" ht="15.75" customHeight="1">
      <c r="I488" s="324"/>
    </row>
    <row r="489" ht="15.75" customHeight="1">
      <c r="I489" s="324"/>
    </row>
    <row r="490" ht="15.75" customHeight="1">
      <c r="I490" s="324"/>
    </row>
    <row r="491" ht="15.75" customHeight="1">
      <c r="I491" s="324"/>
    </row>
    <row r="492" ht="15.75" customHeight="1">
      <c r="I492" s="324"/>
    </row>
    <row r="493" ht="15.75" customHeight="1">
      <c r="I493" s="324"/>
    </row>
    <row r="494" ht="15.75" customHeight="1">
      <c r="I494" s="324"/>
    </row>
    <row r="495" ht="15.75" customHeight="1">
      <c r="I495" s="324"/>
    </row>
    <row r="496" ht="15.75" customHeight="1">
      <c r="I496" s="324"/>
    </row>
    <row r="497" ht="15.75" customHeight="1">
      <c r="I497" s="324"/>
    </row>
    <row r="498" ht="15.75" customHeight="1">
      <c r="I498" s="324"/>
    </row>
    <row r="499" ht="15.75" customHeight="1">
      <c r="I499" s="324"/>
    </row>
    <row r="500" ht="15.75" customHeight="1">
      <c r="I500" s="324"/>
    </row>
    <row r="501" ht="15.75" customHeight="1">
      <c r="I501" s="324"/>
    </row>
    <row r="502" ht="15.75" customHeight="1">
      <c r="I502" s="324"/>
    </row>
    <row r="503" ht="15.75" customHeight="1">
      <c r="I503" s="324"/>
    </row>
    <row r="504" ht="15.75" customHeight="1">
      <c r="I504" s="324"/>
    </row>
    <row r="505" ht="15.75" customHeight="1">
      <c r="I505" s="324"/>
    </row>
    <row r="506" ht="15.75" customHeight="1">
      <c r="I506" s="324"/>
    </row>
    <row r="507" ht="15.75" customHeight="1">
      <c r="I507" s="324"/>
    </row>
    <row r="508" ht="15.75" customHeight="1">
      <c r="I508" s="324"/>
    </row>
    <row r="509" ht="15.75" customHeight="1">
      <c r="I509" s="324"/>
    </row>
    <row r="510" ht="15.75" customHeight="1">
      <c r="I510" s="324"/>
    </row>
    <row r="511" ht="15.75" customHeight="1">
      <c r="I511" s="324"/>
    </row>
    <row r="512" ht="15.75" customHeight="1">
      <c r="I512" s="324"/>
    </row>
    <row r="513" ht="15.75" customHeight="1">
      <c r="I513" s="324"/>
    </row>
    <row r="514" ht="15.75" customHeight="1">
      <c r="I514" s="324"/>
    </row>
    <row r="515" ht="15.75" customHeight="1">
      <c r="I515" s="324"/>
    </row>
    <row r="516" ht="15.75" customHeight="1">
      <c r="I516" s="324"/>
    </row>
    <row r="517" ht="15.75" customHeight="1">
      <c r="I517" s="324"/>
    </row>
    <row r="518" ht="15.75" customHeight="1">
      <c r="I518" s="324"/>
    </row>
    <row r="519" ht="15.75" customHeight="1">
      <c r="I519" s="324"/>
    </row>
    <row r="520" ht="15.75" customHeight="1">
      <c r="I520" s="324"/>
    </row>
    <row r="521" ht="15.75" customHeight="1">
      <c r="I521" s="324"/>
    </row>
    <row r="522" ht="15.75" customHeight="1">
      <c r="I522" s="324"/>
    </row>
    <row r="523" ht="15.75" customHeight="1">
      <c r="I523" s="324"/>
    </row>
    <row r="524" ht="15.75" customHeight="1">
      <c r="I524" s="324"/>
    </row>
    <row r="525" ht="15.75" customHeight="1">
      <c r="I525" s="324"/>
    </row>
    <row r="526" ht="15.75" customHeight="1">
      <c r="I526" s="324"/>
    </row>
    <row r="527" ht="15.75" customHeight="1">
      <c r="I527" s="324"/>
    </row>
    <row r="528" ht="15.75" customHeight="1">
      <c r="I528" s="324"/>
    </row>
    <row r="529" ht="15.75" customHeight="1">
      <c r="I529" s="324"/>
    </row>
    <row r="530" ht="15.75" customHeight="1">
      <c r="I530" s="324"/>
    </row>
    <row r="531" ht="15.75" customHeight="1">
      <c r="I531" s="324"/>
    </row>
    <row r="532" ht="15.75" customHeight="1">
      <c r="I532" s="324"/>
    </row>
    <row r="533" ht="15.75" customHeight="1">
      <c r="I533" s="324"/>
    </row>
    <row r="534" ht="15.75" customHeight="1">
      <c r="I534" s="324"/>
    </row>
    <row r="535" ht="15.75" customHeight="1">
      <c r="I535" s="324"/>
    </row>
    <row r="536" ht="15.75" customHeight="1">
      <c r="I536" s="324"/>
    </row>
    <row r="537" ht="15.75" customHeight="1">
      <c r="I537" s="324"/>
    </row>
    <row r="538" ht="15.75" customHeight="1">
      <c r="I538" s="324"/>
    </row>
    <row r="539" ht="15.75" customHeight="1">
      <c r="I539" s="324"/>
    </row>
    <row r="540" ht="15.75" customHeight="1">
      <c r="I540" s="324"/>
    </row>
    <row r="541" ht="15.75" customHeight="1">
      <c r="I541" s="324"/>
    </row>
    <row r="542" ht="15.75" customHeight="1">
      <c r="I542" s="324"/>
    </row>
    <row r="543" ht="15.75" customHeight="1">
      <c r="I543" s="324"/>
    </row>
    <row r="544" ht="15.75" customHeight="1">
      <c r="I544" s="324"/>
    </row>
    <row r="545" ht="15.75" customHeight="1">
      <c r="I545" s="324"/>
    </row>
    <row r="546" ht="15.75" customHeight="1">
      <c r="I546" s="324"/>
    </row>
    <row r="547" ht="15.75" customHeight="1">
      <c r="I547" s="324"/>
    </row>
    <row r="548" ht="15.75" customHeight="1">
      <c r="I548" s="324"/>
    </row>
    <row r="549" ht="15.75" customHeight="1">
      <c r="I549" s="324"/>
    </row>
    <row r="550" ht="15.75" customHeight="1">
      <c r="I550" s="324"/>
    </row>
    <row r="551" ht="15.75" customHeight="1">
      <c r="I551" s="324"/>
    </row>
    <row r="552" ht="15.75" customHeight="1">
      <c r="I552" s="324"/>
    </row>
    <row r="553" ht="15.75" customHeight="1">
      <c r="I553" s="324"/>
    </row>
    <row r="554" ht="15.75" customHeight="1">
      <c r="I554" s="324"/>
    </row>
    <row r="555" ht="15.75" customHeight="1">
      <c r="I555" s="324"/>
    </row>
    <row r="556" ht="15.75" customHeight="1">
      <c r="I556" s="324"/>
    </row>
    <row r="557" ht="15.75" customHeight="1">
      <c r="I557" s="324"/>
    </row>
    <row r="558" ht="15.75" customHeight="1">
      <c r="I558" s="324"/>
    </row>
    <row r="559" ht="15.75" customHeight="1">
      <c r="I559" s="324"/>
    </row>
    <row r="560" ht="15.75" customHeight="1">
      <c r="I560" s="324"/>
    </row>
    <row r="561" ht="15.75" customHeight="1">
      <c r="I561" s="324"/>
    </row>
    <row r="562" ht="15.75" customHeight="1">
      <c r="I562" s="324"/>
    </row>
    <row r="563" ht="15.75" customHeight="1">
      <c r="I563" s="324"/>
    </row>
    <row r="564" ht="15.75" customHeight="1">
      <c r="I564" s="324"/>
    </row>
    <row r="565" ht="15.75" customHeight="1">
      <c r="I565" s="324"/>
    </row>
    <row r="566" ht="15.75" customHeight="1">
      <c r="I566" s="324"/>
    </row>
    <row r="567" ht="15.75" customHeight="1">
      <c r="I567" s="324"/>
    </row>
    <row r="568" ht="15.75" customHeight="1">
      <c r="I568" s="324"/>
    </row>
    <row r="569" ht="15.75" customHeight="1">
      <c r="I569" s="324"/>
    </row>
    <row r="570" ht="15.75" customHeight="1">
      <c r="I570" s="324"/>
    </row>
    <row r="571" ht="15.75" customHeight="1">
      <c r="I571" s="324"/>
    </row>
    <row r="572" ht="15.75" customHeight="1">
      <c r="I572" s="324"/>
    </row>
    <row r="573" ht="15.75" customHeight="1">
      <c r="I573" s="324"/>
    </row>
    <row r="574" ht="15.75" customHeight="1">
      <c r="I574" s="324"/>
    </row>
    <row r="575" ht="15.75" customHeight="1">
      <c r="I575" s="324"/>
    </row>
    <row r="576" ht="15.75" customHeight="1">
      <c r="I576" s="324"/>
    </row>
    <row r="577" ht="15.75" customHeight="1">
      <c r="I577" s="324"/>
    </row>
    <row r="578" ht="15.75" customHeight="1">
      <c r="I578" s="324"/>
    </row>
    <row r="579" ht="15.75" customHeight="1">
      <c r="I579" s="324"/>
    </row>
    <row r="580" ht="15.75" customHeight="1">
      <c r="I580" s="324"/>
    </row>
    <row r="581" ht="15.75" customHeight="1">
      <c r="I581" s="324"/>
    </row>
    <row r="582" ht="15.75" customHeight="1">
      <c r="I582" s="324"/>
    </row>
    <row r="583" ht="15.75" customHeight="1">
      <c r="I583" s="324"/>
    </row>
    <row r="584" ht="15.75" customHeight="1">
      <c r="I584" s="324"/>
    </row>
    <row r="585" ht="15.75" customHeight="1">
      <c r="I585" s="324"/>
    </row>
    <row r="586" ht="15.75" customHeight="1">
      <c r="I586" s="324"/>
    </row>
    <row r="587" ht="15.75" customHeight="1">
      <c r="I587" s="324"/>
    </row>
    <row r="588" ht="15.75" customHeight="1">
      <c r="I588" s="324"/>
    </row>
    <row r="589" ht="15.75" customHeight="1">
      <c r="I589" s="324"/>
    </row>
    <row r="590" ht="15.75" customHeight="1">
      <c r="I590" s="324"/>
    </row>
    <row r="591" ht="15.75" customHeight="1">
      <c r="I591" s="324"/>
    </row>
    <row r="592" ht="15.75" customHeight="1">
      <c r="I592" s="324"/>
    </row>
    <row r="593" ht="15.75" customHeight="1">
      <c r="I593" s="324"/>
    </row>
    <row r="594" ht="15.75" customHeight="1">
      <c r="I594" s="324"/>
    </row>
    <row r="595" ht="15.75" customHeight="1">
      <c r="I595" s="324"/>
    </row>
    <row r="596" ht="15.75" customHeight="1">
      <c r="I596" s="324"/>
    </row>
    <row r="597" ht="15.75" customHeight="1">
      <c r="I597" s="324"/>
    </row>
    <row r="598" ht="15.75" customHeight="1">
      <c r="I598" s="324"/>
    </row>
    <row r="599" ht="15.75" customHeight="1">
      <c r="I599" s="324"/>
    </row>
    <row r="600" ht="15.75" customHeight="1">
      <c r="I600" s="324"/>
    </row>
    <row r="601" ht="15.75" customHeight="1">
      <c r="I601" s="324"/>
    </row>
    <row r="602" ht="15.75" customHeight="1">
      <c r="I602" s="324"/>
    </row>
    <row r="603" ht="15.75" customHeight="1">
      <c r="I603" s="324"/>
    </row>
    <row r="604" ht="15.75" customHeight="1">
      <c r="I604" s="324"/>
    </row>
    <row r="605" ht="15.75" customHeight="1">
      <c r="I605" s="324"/>
    </row>
    <row r="606" ht="15.75" customHeight="1">
      <c r="I606" s="324"/>
    </row>
    <row r="607" ht="15.75" customHeight="1">
      <c r="I607" s="324"/>
    </row>
    <row r="608" ht="15.75" customHeight="1">
      <c r="I608" s="324"/>
    </row>
    <row r="609" ht="15.75" customHeight="1">
      <c r="I609" s="324"/>
    </row>
    <row r="610" ht="15.75" customHeight="1">
      <c r="I610" s="324"/>
    </row>
    <row r="611" ht="15.75" customHeight="1">
      <c r="I611" s="324"/>
    </row>
    <row r="612" ht="15.75" customHeight="1">
      <c r="I612" s="324"/>
    </row>
    <row r="613" ht="15.75" customHeight="1">
      <c r="I613" s="324"/>
    </row>
    <row r="614" ht="15.75" customHeight="1">
      <c r="I614" s="324"/>
    </row>
    <row r="615" ht="15.75" customHeight="1">
      <c r="I615" s="324"/>
    </row>
    <row r="616" ht="15.75" customHeight="1">
      <c r="I616" s="324"/>
    </row>
    <row r="617" ht="15.75" customHeight="1">
      <c r="I617" s="324"/>
    </row>
    <row r="618" ht="15.75" customHeight="1">
      <c r="I618" s="324"/>
    </row>
    <row r="619" ht="15.75" customHeight="1">
      <c r="I619" s="324"/>
    </row>
    <row r="620" ht="15.75" customHeight="1">
      <c r="I620" s="324"/>
    </row>
    <row r="621" ht="15.75" customHeight="1">
      <c r="I621" s="324"/>
    </row>
    <row r="622" ht="15.75" customHeight="1">
      <c r="I622" s="324"/>
    </row>
    <row r="623" ht="15.75" customHeight="1">
      <c r="I623" s="324"/>
    </row>
    <row r="624" ht="15.75" customHeight="1">
      <c r="I624" s="324"/>
    </row>
    <row r="625" ht="15.75" customHeight="1">
      <c r="I625" s="324"/>
    </row>
    <row r="626" ht="15.75" customHeight="1">
      <c r="I626" s="324"/>
    </row>
    <row r="627" ht="15.75" customHeight="1">
      <c r="I627" s="324"/>
    </row>
    <row r="628" ht="15.75" customHeight="1">
      <c r="I628" s="324"/>
    </row>
    <row r="629" ht="15.75" customHeight="1">
      <c r="I629" s="324"/>
    </row>
    <row r="630" ht="15.75" customHeight="1">
      <c r="I630" s="324"/>
    </row>
    <row r="631" ht="15.75" customHeight="1">
      <c r="I631" s="324"/>
    </row>
    <row r="632" ht="15.75" customHeight="1">
      <c r="I632" s="324"/>
    </row>
    <row r="633" ht="15.75" customHeight="1">
      <c r="I633" s="324"/>
    </row>
    <row r="634" ht="15.75" customHeight="1">
      <c r="I634" s="324"/>
    </row>
    <row r="635" ht="15.75" customHeight="1">
      <c r="I635" s="324"/>
    </row>
    <row r="636" ht="15.75" customHeight="1">
      <c r="I636" s="324"/>
    </row>
    <row r="637" ht="15.75" customHeight="1">
      <c r="I637" s="324"/>
    </row>
    <row r="638" ht="15.75" customHeight="1">
      <c r="I638" s="324"/>
    </row>
    <row r="639" ht="15.75" customHeight="1">
      <c r="I639" s="324"/>
    </row>
    <row r="640" ht="15.75" customHeight="1">
      <c r="I640" s="324"/>
    </row>
    <row r="641" ht="15.75" customHeight="1">
      <c r="I641" s="324"/>
    </row>
    <row r="642" ht="15.75" customHeight="1">
      <c r="I642" s="324"/>
    </row>
    <row r="643" ht="15.75" customHeight="1">
      <c r="I643" s="324"/>
    </row>
    <row r="644" ht="15.75" customHeight="1">
      <c r="I644" s="324"/>
    </row>
    <row r="645" ht="15.75" customHeight="1">
      <c r="I645" s="324"/>
    </row>
    <row r="646" ht="15.75" customHeight="1">
      <c r="I646" s="324"/>
    </row>
    <row r="647" ht="15.75" customHeight="1">
      <c r="I647" s="324"/>
    </row>
    <row r="648" ht="15.75" customHeight="1">
      <c r="I648" s="324"/>
    </row>
    <row r="649" ht="15.75" customHeight="1">
      <c r="I649" s="324"/>
    </row>
    <row r="650" ht="15.75" customHeight="1">
      <c r="I650" s="324"/>
    </row>
    <row r="651" ht="15.75" customHeight="1">
      <c r="I651" s="324"/>
    </row>
    <row r="652" ht="15.75" customHeight="1">
      <c r="I652" s="324"/>
    </row>
    <row r="653" ht="15.75" customHeight="1">
      <c r="I653" s="324"/>
    </row>
    <row r="654" ht="15.75" customHeight="1">
      <c r="I654" s="324"/>
    </row>
    <row r="655" ht="15.75" customHeight="1">
      <c r="I655" s="324"/>
    </row>
    <row r="656" ht="15.75" customHeight="1">
      <c r="I656" s="324"/>
    </row>
    <row r="657" ht="15.75" customHeight="1">
      <c r="I657" s="324"/>
    </row>
    <row r="658" ht="15.75" customHeight="1">
      <c r="I658" s="324"/>
    </row>
    <row r="659" ht="15.75" customHeight="1">
      <c r="I659" s="324"/>
    </row>
    <row r="660" ht="15.75" customHeight="1">
      <c r="I660" s="324"/>
    </row>
    <row r="661" ht="15.75" customHeight="1">
      <c r="I661" s="324"/>
    </row>
    <row r="662" ht="15.75" customHeight="1">
      <c r="I662" s="324"/>
    </row>
    <row r="663" ht="15.75" customHeight="1">
      <c r="I663" s="324"/>
    </row>
    <row r="664" ht="15.75" customHeight="1">
      <c r="I664" s="324"/>
    </row>
    <row r="665" ht="15.75" customHeight="1">
      <c r="I665" s="324"/>
    </row>
    <row r="666" ht="15.75" customHeight="1">
      <c r="I666" s="324"/>
    </row>
    <row r="667" ht="15.75" customHeight="1">
      <c r="I667" s="324"/>
    </row>
    <row r="668" ht="15.75" customHeight="1">
      <c r="I668" s="324"/>
    </row>
    <row r="669" ht="15.75" customHeight="1">
      <c r="I669" s="324"/>
    </row>
    <row r="670" ht="15.75" customHeight="1">
      <c r="I670" s="324"/>
    </row>
    <row r="671" ht="15.75" customHeight="1">
      <c r="I671" s="324"/>
    </row>
    <row r="672" ht="15.75" customHeight="1">
      <c r="I672" s="324"/>
    </row>
    <row r="673" ht="15.75" customHeight="1">
      <c r="I673" s="324"/>
    </row>
    <row r="674" ht="15.75" customHeight="1">
      <c r="I674" s="324"/>
    </row>
    <row r="675" ht="15.75" customHeight="1">
      <c r="I675" s="324"/>
    </row>
    <row r="676" ht="15.75" customHeight="1">
      <c r="I676" s="324"/>
    </row>
    <row r="677" ht="15.75" customHeight="1">
      <c r="I677" s="324"/>
    </row>
    <row r="678" ht="15.75" customHeight="1">
      <c r="I678" s="324"/>
    </row>
    <row r="679" ht="15.75" customHeight="1">
      <c r="I679" s="324"/>
    </row>
    <row r="680" ht="15.75" customHeight="1">
      <c r="I680" s="324"/>
    </row>
    <row r="681" ht="15.75" customHeight="1">
      <c r="I681" s="324"/>
    </row>
    <row r="682" ht="15.75" customHeight="1">
      <c r="I682" s="324"/>
    </row>
    <row r="683" ht="15.75" customHeight="1">
      <c r="I683" s="324"/>
    </row>
    <row r="684" ht="15.75" customHeight="1">
      <c r="I684" s="324"/>
    </row>
    <row r="685" ht="15.75" customHeight="1">
      <c r="I685" s="324"/>
    </row>
    <row r="686" ht="15.75" customHeight="1">
      <c r="I686" s="324"/>
    </row>
    <row r="687" ht="15.75" customHeight="1">
      <c r="I687" s="324"/>
    </row>
    <row r="688" ht="15.75" customHeight="1">
      <c r="I688" s="324"/>
    </row>
    <row r="689" ht="15.75" customHeight="1">
      <c r="I689" s="324"/>
    </row>
    <row r="690" ht="15.75" customHeight="1">
      <c r="I690" s="324"/>
    </row>
    <row r="691" ht="15.75" customHeight="1">
      <c r="I691" s="324"/>
    </row>
    <row r="692" ht="15.75" customHeight="1">
      <c r="I692" s="324"/>
    </row>
    <row r="693" ht="15.75" customHeight="1">
      <c r="I693" s="324"/>
    </row>
    <row r="694" ht="15.75" customHeight="1">
      <c r="I694" s="324"/>
    </row>
    <row r="695" ht="15.75" customHeight="1">
      <c r="I695" s="324"/>
    </row>
    <row r="696" ht="15.75" customHeight="1">
      <c r="I696" s="324"/>
    </row>
    <row r="697" ht="15.75" customHeight="1">
      <c r="I697" s="324"/>
    </row>
    <row r="698" ht="15.75" customHeight="1">
      <c r="I698" s="324"/>
    </row>
    <row r="699" ht="15.75" customHeight="1">
      <c r="I699" s="324"/>
    </row>
    <row r="700" ht="15.75" customHeight="1">
      <c r="I700" s="324"/>
    </row>
    <row r="701" ht="15.75" customHeight="1">
      <c r="I701" s="324"/>
    </row>
    <row r="702" ht="15.75" customHeight="1">
      <c r="I702" s="324"/>
    </row>
    <row r="703" ht="15.75" customHeight="1">
      <c r="I703" s="324"/>
    </row>
    <row r="704" ht="15.75" customHeight="1">
      <c r="I704" s="324"/>
    </row>
    <row r="705" ht="15.75" customHeight="1">
      <c r="I705" s="324"/>
    </row>
    <row r="706" ht="15.75" customHeight="1">
      <c r="I706" s="324"/>
    </row>
    <row r="707" ht="15.75" customHeight="1">
      <c r="I707" s="324"/>
    </row>
    <row r="708" ht="15.75" customHeight="1">
      <c r="I708" s="324"/>
    </row>
    <row r="709" ht="15.75" customHeight="1">
      <c r="I709" s="324"/>
    </row>
    <row r="710" ht="15.75" customHeight="1">
      <c r="I710" s="324"/>
    </row>
    <row r="711" ht="15.75" customHeight="1">
      <c r="I711" s="324"/>
    </row>
    <row r="712" ht="15.75" customHeight="1">
      <c r="I712" s="324"/>
    </row>
    <row r="713" ht="15.75" customHeight="1">
      <c r="I713" s="324"/>
    </row>
    <row r="714" ht="15.75" customHeight="1">
      <c r="I714" s="324"/>
    </row>
    <row r="715" ht="15.75" customHeight="1">
      <c r="I715" s="324"/>
    </row>
    <row r="716" ht="15.75" customHeight="1">
      <c r="I716" s="324"/>
    </row>
    <row r="717" ht="15.75" customHeight="1">
      <c r="I717" s="324"/>
    </row>
    <row r="718" ht="15.75" customHeight="1">
      <c r="I718" s="324"/>
    </row>
    <row r="719" ht="15.75" customHeight="1">
      <c r="I719" s="324"/>
    </row>
    <row r="720" ht="15.75" customHeight="1">
      <c r="I720" s="324"/>
    </row>
    <row r="721" ht="15.75" customHeight="1">
      <c r="I721" s="324"/>
    </row>
    <row r="722" ht="15.75" customHeight="1">
      <c r="I722" s="324"/>
    </row>
    <row r="723" ht="15.75" customHeight="1">
      <c r="I723" s="324"/>
    </row>
    <row r="724" ht="15.75" customHeight="1">
      <c r="I724" s="324"/>
    </row>
    <row r="725" ht="15.75" customHeight="1">
      <c r="I725" s="324"/>
    </row>
    <row r="726" ht="15.75" customHeight="1">
      <c r="I726" s="324"/>
    </row>
    <row r="727" ht="15.75" customHeight="1">
      <c r="I727" s="324"/>
    </row>
    <row r="728" ht="15.75" customHeight="1">
      <c r="I728" s="324"/>
    </row>
    <row r="729" ht="15.75" customHeight="1">
      <c r="I729" s="324"/>
    </row>
    <row r="730" ht="15.75" customHeight="1">
      <c r="I730" s="324"/>
    </row>
    <row r="731" ht="15.75" customHeight="1">
      <c r="I731" s="324"/>
    </row>
    <row r="732" ht="15.75" customHeight="1">
      <c r="I732" s="324"/>
    </row>
    <row r="733" ht="15.75" customHeight="1">
      <c r="I733" s="324"/>
    </row>
    <row r="734" ht="15.75" customHeight="1">
      <c r="I734" s="324"/>
    </row>
    <row r="735" ht="15.75" customHeight="1">
      <c r="I735" s="324"/>
    </row>
    <row r="736" ht="15.75" customHeight="1">
      <c r="I736" s="324"/>
    </row>
    <row r="737" ht="15.75" customHeight="1">
      <c r="I737" s="324"/>
    </row>
    <row r="738" ht="15.75" customHeight="1">
      <c r="I738" s="324"/>
    </row>
    <row r="739" ht="15.75" customHeight="1">
      <c r="I739" s="324"/>
    </row>
    <row r="740" ht="15.75" customHeight="1">
      <c r="I740" s="324"/>
    </row>
    <row r="741" ht="15.75" customHeight="1">
      <c r="I741" s="324"/>
    </row>
    <row r="742" ht="15.75" customHeight="1">
      <c r="I742" s="324"/>
    </row>
    <row r="743" ht="15.75" customHeight="1">
      <c r="I743" s="324"/>
    </row>
    <row r="744" ht="15.75" customHeight="1">
      <c r="I744" s="324"/>
    </row>
    <row r="745" ht="15.75" customHeight="1">
      <c r="I745" s="324"/>
    </row>
    <row r="746" ht="15.75" customHeight="1">
      <c r="I746" s="324"/>
    </row>
    <row r="747" ht="15.75" customHeight="1">
      <c r="I747" s="324"/>
    </row>
    <row r="748" ht="15.75" customHeight="1">
      <c r="I748" s="324"/>
    </row>
    <row r="749" ht="15.75" customHeight="1">
      <c r="I749" s="324"/>
    </row>
    <row r="750" ht="15.75" customHeight="1">
      <c r="I750" s="324"/>
    </row>
    <row r="751" ht="15.75" customHeight="1">
      <c r="I751" s="324"/>
    </row>
    <row r="752" ht="15.75" customHeight="1">
      <c r="I752" s="324"/>
    </row>
    <row r="753" ht="15.75" customHeight="1">
      <c r="I753" s="324"/>
    </row>
    <row r="754" ht="15.75" customHeight="1">
      <c r="I754" s="324"/>
    </row>
    <row r="755" ht="15.75" customHeight="1">
      <c r="I755" s="324"/>
    </row>
    <row r="756" ht="15.75" customHeight="1">
      <c r="I756" s="324"/>
    </row>
    <row r="757" ht="15.75" customHeight="1">
      <c r="I757" s="324"/>
    </row>
    <row r="758" ht="15.75" customHeight="1">
      <c r="I758" s="324"/>
    </row>
    <row r="759" ht="15.75" customHeight="1">
      <c r="I759" s="324"/>
    </row>
    <row r="760" ht="15.75" customHeight="1">
      <c r="I760" s="324"/>
    </row>
    <row r="761" ht="15.75" customHeight="1">
      <c r="I761" s="324"/>
    </row>
    <row r="762" ht="15.75" customHeight="1">
      <c r="I762" s="324"/>
    </row>
    <row r="763" ht="15.75" customHeight="1">
      <c r="I763" s="324"/>
    </row>
    <row r="764" ht="15.75" customHeight="1">
      <c r="I764" s="324"/>
    </row>
    <row r="765" ht="15.75" customHeight="1">
      <c r="I765" s="324"/>
    </row>
    <row r="766" ht="15.75" customHeight="1">
      <c r="I766" s="324"/>
    </row>
    <row r="767" ht="15.75" customHeight="1">
      <c r="I767" s="324"/>
    </row>
    <row r="768" ht="15.75" customHeight="1">
      <c r="I768" s="324"/>
    </row>
    <row r="769" ht="15.75" customHeight="1">
      <c r="I769" s="324"/>
    </row>
    <row r="770" ht="15.75" customHeight="1">
      <c r="I770" s="324"/>
    </row>
    <row r="771" ht="15.75" customHeight="1">
      <c r="I771" s="324"/>
    </row>
    <row r="772" ht="15.75" customHeight="1">
      <c r="I772" s="324"/>
    </row>
    <row r="773" ht="15.75" customHeight="1">
      <c r="I773" s="324"/>
    </row>
    <row r="774" ht="15.75" customHeight="1">
      <c r="I774" s="324"/>
    </row>
    <row r="775" ht="15.75" customHeight="1">
      <c r="I775" s="324"/>
    </row>
    <row r="776" ht="15.75" customHeight="1">
      <c r="I776" s="324"/>
    </row>
    <row r="777" ht="15.75" customHeight="1">
      <c r="I777" s="324"/>
    </row>
    <row r="778" ht="15.75" customHeight="1">
      <c r="I778" s="324"/>
    </row>
    <row r="779" ht="15.75" customHeight="1">
      <c r="I779" s="324"/>
    </row>
    <row r="780" ht="15.75" customHeight="1">
      <c r="I780" s="324"/>
    </row>
    <row r="781" ht="15.75" customHeight="1">
      <c r="I781" s="324"/>
    </row>
    <row r="782" ht="15.75" customHeight="1">
      <c r="I782" s="324"/>
    </row>
    <row r="783" ht="15.75" customHeight="1">
      <c r="I783" s="324"/>
    </row>
    <row r="784" ht="15.75" customHeight="1">
      <c r="I784" s="324"/>
    </row>
    <row r="785" ht="15.75" customHeight="1">
      <c r="I785" s="324"/>
    </row>
    <row r="786" ht="15.75" customHeight="1">
      <c r="I786" s="324"/>
    </row>
    <row r="787" ht="15.75" customHeight="1">
      <c r="I787" s="324"/>
    </row>
    <row r="788" ht="15.75" customHeight="1">
      <c r="I788" s="324"/>
    </row>
    <row r="789" ht="15.75" customHeight="1">
      <c r="I789" s="324"/>
    </row>
    <row r="790" ht="15.75" customHeight="1">
      <c r="I790" s="324"/>
    </row>
    <row r="791" ht="15.75" customHeight="1">
      <c r="I791" s="324"/>
    </row>
    <row r="792" ht="15.75" customHeight="1">
      <c r="I792" s="324"/>
    </row>
    <row r="793" ht="15.75" customHeight="1">
      <c r="I793" s="324"/>
    </row>
    <row r="794" ht="15.75" customHeight="1">
      <c r="I794" s="324"/>
    </row>
    <row r="795" ht="15.75" customHeight="1">
      <c r="I795" s="324"/>
    </row>
    <row r="796" ht="15.75" customHeight="1">
      <c r="I796" s="324"/>
    </row>
    <row r="797" ht="15.75" customHeight="1">
      <c r="I797" s="324"/>
    </row>
    <row r="798" ht="15.75" customHeight="1">
      <c r="I798" s="324"/>
    </row>
    <row r="799" ht="15.75" customHeight="1">
      <c r="I799" s="324"/>
    </row>
    <row r="800" ht="15.75" customHeight="1">
      <c r="I800" s="324"/>
    </row>
    <row r="801" ht="15.75" customHeight="1">
      <c r="I801" s="324"/>
    </row>
    <row r="802" ht="15.75" customHeight="1">
      <c r="I802" s="324"/>
    </row>
    <row r="803" ht="15.75" customHeight="1">
      <c r="I803" s="324"/>
    </row>
    <row r="804" ht="15.75" customHeight="1">
      <c r="I804" s="324"/>
    </row>
    <row r="805" ht="15.75" customHeight="1">
      <c r="I805" s="324"/>
    </row>
    <row r="806" ht="15.75" customHeight="1">
      <c r="I806" s="324"/>
    </row>
    <row r="807" ht="15.75" customHeight="1">
      <c r="I807" s="324"/>
    </row>
    <row r="808" ht="15.75" customHeight="1">
      <c r="I808" s="324"/>
    </row>
    <row r="809" ht="15.75" customHeight="1">
      <c r="I809" s="324"/>
    </row>
    <row r="810" ht="15.75" customHeight="1">
      <c r="I810" s="324"/>
    </row>
    <row r="811" ht="15.75" customHeight="1">
      <c r="I811" s="324"/>
    </row>
    <row r="812" ht="15.75" customHeight="1">
      <c r="I812" s="324"/>
    </row>
    <row r="813" ht="15.75" customHeight="1">
      <c r="I813" s="324"/>
    </row>
    <row r="814" ht="15.75" customHeight="1">
      <c r="I814" s="324"/>
    </row>
    <row r="815" ht="15.75" customHeight="1">
      <c r="I815" s="324"/>
    </row>
    <row r="816" ht="15.75" customHeight="1">
      <c r="I816" s="324"/>
    </row>
    <row r="817" ht="15.75" customHeight="1">
      <c r="I817" s="324"/>
    </row>
    <row r="818" ht="15.75" customHeight="1">
      <c r="I818" s="324"/>
    </row>
    <row r="819" ht="15.75" customHeight="1">
      <c r="I819" s="324"/>
    </row>
    <row r="820" ht="15.75" customHeight="1">
      <c r="I820" s="324"/>
    </row>
    <row r="821" ht="15.75" customHeight="1">
      <c r="I821" s="324"/>
    </row>
    <row r="822" ht="15.75" customHeight="1">
      <c r="I822" s="324"/>
    </row>
    <row r="823" ht="15.75" customHeight="1">
      <c r="I823" s="324"/>
    </row>
    <row r="824" ht="15.75" customHeight="1">
      <c r="I824" s="324"/>
    </row>
    <row r="825" ht="15.75" customHeight="1">
      <c r="I825" s="324"/>
    </row>
    <row r="826" ht="15.75" customHeight="1">
      <c r="I826" s="324"/>
    </row>
    <row r="827" ht="15.75" customHeight="1">
      <c r="I827" s="324"/>
    </row>
    <row r="828" ht="15.75" customHeight="1">
      <c r="I828" s="324"/>
    </row>
    <row r="829" ht="15.75" customHeight="1">
      <c r="I829" s="324"/>
    </row>
    <row r="830" ht="15.75" customHeight="1">
      <c r="I830" s="324"/>
    </row>
    <row r="831" ht="15.75" customHeight="1">
      <c r="I831" s="324"/>
    </row>
    <row r="832" ht="15.75" customHeight="1">
      <c r="I832" s="324"/>
    </row>
    <row r="833" ht="15.75" customHeight="1">
      <c r="I833" s="324"/>
    </row>
    <row r="834" ht="15.75" customHeight="1">
      <c r="I834" s="324"/>
    </row>
    <row r="835" ht="15.75" customHeight="1">
      <c r="I835" s="324"/>
    </row>
    <row r="836" ht="15.75" customHeight="1">
      <c r="I836" s="324"/>
    </row>
    <row r="837" ht="15.75" customHeight="1">
      <c r="I837" s="324"/>
    </row>
    <row r="838" ht="15.75" customHeight="1">
      <c r="I838" s="324"/>
    </row>
    <row r="839" ht="15.75" customHeight="1">
      <c r="I839" s="324"/>
    </row>
    <row r="840" ht="15.75" customHeight="1">
      <c r="I840" s="324"/>
    </row>
    <row r="841" ht="15.75" customHeight="1">
      <c r="I841" s="324"/>
    </row>
    <row r="842" ht="15.75" customHeight="1">
      <c r="I842" s="324"/>
    </row>
    <row r="843" ht="15.75" customHeight="1">
      <c r="I843" s="324"/>
    </row>
    <row r="844" ht="15.75" customHeight="1">
      <c r="I844" s="324"/>
    </row>
    <row r="845" ht="15.75" customHeight="1">
      <c r="I845" s="324"/>
    </row>
    <row r="846" ht="15.75" customHeight="1">
      <c r="I846" s="324"/>
    </row>
    <row r="847" ht="15.75" customHeight="1">
      <c r="I847" s="324"/>
    </row>
    <row r="848" ht="15.75" customHeight="1">
      <c r="I848" s="324"/>
    </row>
    <row r="849" ht="15.75" customHeight="1">
      <c r="I849" s="324"/>
    </row>
    <row r="850" ht="15.75" customHeight="1">
      <c r="I850" s="324"/>
    </row>
    <row r="851" ht="15.75" customHeight="1">
      <c r="I851" s="324"/>
    </row>
    <row r="852" ht="15.75" customHeight="1">
      <c r="I852" s="324"/>
    </row>
    <row r="853" ht="15.75" customHeight="1">
      <c r="I853" s="324"/>
    </row>
    <row r="854" ht="15.75" customHeight="1">
      <c r="I854" s="324"/>
    </row>
    <row r="855" ht="15.75" customHeight="1">
      <c r="I855" s="324"/>
    </row>
    <row r="856" ht="15.75" customHeight="1">
      <c r="I856" s="324"/>
    </row>
    <row r="857" ht="15.75" customHeight="1">
      <c r="I857" s="324"/>
    </row>
    <row r="858" ht="15.75" customHeight="1">
      <c r="I858" s="324"/>
    </row>
    <row r="859" ht="15.75" customHeight="1">
      <c r="I859" s="324"/>
    </row>
    <row r="860" ht="15.75" customHeight="1">
      <c r="I860" s="324"/>
    </row>
    <row r="861" ht="15.75" customHeight="1">
      <c r="I861" s="324"/>
    </row>
    <row r="862" ht="15.75" customHeight="1">
      <c r="I862" s="324"/>
    </row>
    <row r="863" ht="15.75" customHeight="1">
      <c r="I863" s="324"/>
    </row>
    <row r="864" ht="15.75" customHeight="1">
      <c r="I864" s="324"/>
    </row>
    <row r="865" ht="15.75" customHeight="1">
      <c r="I865" s="324"/>
    </row>
    <row r="866" ht="15.75" customHeight="1">
      <c r="I866" s="324"/>
    </row>
    <row r="867" ht="15.75" customHeight="1">
      <c r="I867" s="324"/>
    </row>
    <row r="868" ht="15.75" customHeight="1">
      <c r="I868" s="324"/>
    </row>
    <row r="869" ht="15.75" customHeight="1">
      <c r="I869" s="324"/>
    </row>
    <row r="870" ht="15.75" customHeight="1">
      <c r="I870" s="324"/>
    </row>
    <row r="871" ht="15.75" customHeight="1">
      <c r="I871" s="324"/>
    </row>
    <row r="872" ht="15.75" customHeight="1">
      <c r="I872" s="324"/>
    </row>
    <row r="873" ht="15.75" customHeight="1">
      <c r="I873" s="324"/>
    </row>
    <row r="874" ht="15.75" customHeight="1">
      <c r="I874" s="324"/>
    </row>
    <row r="875" ht="15.75" customHeight="1">
      <c r="I875" s="324"/>
    </row>
    <row r="876" ht="15.75" customHeight="1">
      <c r="I876" s="324"/>
    </row>
    <row r="877" ht="15.75" customHeight="1">
      <c r="I877" s="324"/>
    </row>
    <row r="878" ht="15.75" customHeight="1">
      <c r="I878" s="324"/>
    </row>
    <row r="879" ht="15.75" customHeight="1">
      <c r="I879" s="324"/>
    </row>
    <row r="880" ht="15.75" customHeight="1">
      <c r="I880" s="324"/>
    </row>
    <row r="881" ht="15.75" customHeight="1">
      <c r="I881" s="324"/>
    </row>
    <row r="882" ht="15.75" customHeight="1">
      <c r="I882" s="324"/>
    </row>
    <row r="883" ht="15.75" customHeight="1">
      <c r="I883" s="324"/>
    </row>
    <row r="884" ht="15.75" customHeight="1">
      <c r="I884" s="324"/>
    </row>
    <row r="885" ht="15.75" customHeight="1">
      <c r="I885" s="324"/>
    </row>
    <row r="886" ht="15.75" customHeight="1">
      <c r="I886" s="324"/>
    </row>
    <row r="887" ht="15.75" customHeight="1">
      <c r="I887" s="324"/>
    </row>
    <row r="888" ht="15.75" customHeight="1">
      <c r="I888" s="324"/>
    </row>
    <row r="889" ht="15.75" customHeight="1">
      <c r="I889" s="324"/>
    </row>
    <row r="890" ht="15.75" customHeight="1">
      <c r="I890" s="324"/>
    </row>
    <row r="891" ht="15.75" customHeight="1">
      <c r="I891" s="324"/>
    </row>
    <row r="892" ht="15.75" customHeight="1">
      <c r="I892" s="324"/>
    </row>
    <row r="893" ht="15.75" customHeight="1">
      <c r="I893" s="324"/>
    </row>
    <row r="894" ht="15.75" customHeight="1">
      <c r="I894" s="324"/>
    </row>
    <row r="895" ht="15.75" customHeight="1">
      <c r="I895" s="324"/>
    </row>
    <row r="896" ht="15.75" customHeight="1">
      <c r="I896" s="324"/>
    </row>
    <row r="897" ht="15.75" customHeight="1">
      <c r="I897" s="324"/>
    </row>
    <row r="898" ht="15.75" customHeight="1">
      <c r="I898" s="324"/>
    </row>
    <row r="899" ht="15.75" customHeight="1">
      <c r="I899" s="324"/>
    </row>
    <row r="900" ht="15.75" customHeight="1">
      <c r="I900" s="324"/>
    </row>
    <row r="901" ht="15.75" customHeight="1">
      <c r="I901" s="324"/>
    </row>
    <row r="902" ht="15.75" customHeight="1">
      <c r="I902" s="324"/>
    </row>
    <row r="903" ht="15.75" customHeight="1">
      <c r="I903" s="324"/>
    </row>
    <row r="904" ht="15.75" customHeight="1">
      <c r="I904" s="324"/>
    </row>
    <row r="905" ht="15.75" customHeight="1">
      <c r="I905" s="324"/>
    </row>
    <row r="906" ht="15.75" customHeight="1">
      <c r="I906" s="324"/>
    </row>
    <row r="907" ht="15.75" customHeight="1">
      <c r="I907" s="324"/>
    </row>
    <row r="908" ht="15.75" customHeight="1">
      <c r="I908" s="324"/>
    </row>
    <row r="909" ht="15.75" customHeight="1">
      <c r="I909" s="324"/>
    </row>
    <row r="910" ht="15.75" customHeight="1">
      <c r="I910" s="324"/>
    </row>
    <row r="911" ht="15.75" customHeight="1">
      <c r="I911" s="324"/>
    </row>
    <row r="912" ht="15.75" customHeight="1">
      <c r="I912" s="324"/>
    </row>
    <row r="913" ht="15.75" customHeight="1">
      <c r="I913" s="324"/>
    </row>
    <row r="914" ht="15.75" customHeight="1">
      <c r="I914" s="324"/>
    </row>
    <row r="915" ht="15.75" customHeight="1">
      <c r="I915" s="324"/>
    </row>
    <row r="916" ht="15.75" customHeight="1">
      <c r="I916" s="324"/>
    </row>
    <row r="917" ht="15.75" customHeight="1">
      <c r="I917" s="324"/>
    </row>
    <row r="918" ht="15.75" customHeight="1">
      <c r="I918" s="324"/>
    </row>
    <row r="919" ht="15.75" customHeight="1">
      <c r="I919" s="324"/>
    </row>
    <row r="920" ht="15.75" customHeight="1">
      <c r="I920" s="324"/>
    </row>
    <row r="921" ht="15.75" customHeight="1">
      <c r="I921" s="324"/>
    </row>
    <row r="922" ht="15.75" customHeight="1">
      <c r="I922" s="324"/>
    </row>
    <row r="923" ht="15.75" customHeight="1">
      <c r="I923" s="324"/>
    </row>
    <row r="924" ht="15.75" customHeight="1">
      <c r="I924" s="324"/>
    </row>
    <row r="925" ht="15.75" customHeight="1">
      <c r="I925" s="324"/>
    </row>
    <row r="926" ht="15.75" customHeight="1">
      <c r="I926" s="324"/>
    </row>
    <row r="927" ht="15.75" customHeight="1">
      <c r="I927" s="324"/>
    </row>
    <row r="928" ht="15.75" customHeight="1">
      <c r="I928" s="324"/>
    </row>
    <row r="929" ht="15.75" customHeight="1">
      <c r="I929" s="324"/>
    </row>
    <row r="930" ht="15.75" customHeight="1">
      <c r="I930" s="324"/>
    </row>
    <row r="931" ht="15.75" customHeight="1">
      <c r="I931" s="324"/>
    </row>
    <row r="932" ht="15.75" customHeight="1">
      <c r="I932" s="324"/>
    </row>
    <row r="933" ht="15.75" customHeight="1">
      <c r="I933" s="324"/>
    </row>
    <row r="934" ht="15.75" customHeight="1">
      <c r="I934" s="324"/>
    </row>
    <row r="935" ht="15.75" customHeight="1">
      <c r="I935" s="324"/>
    </row>
    <row r="936" ht="15.75" customHeight="1">
      <c r="I936" s="324"/>
    </row>
    <row r="937" ht="15.75" customHeight="1">
      <c r="I937" s="324"/>
    </row>
    <row r="938" ht="15.75" customHeight="1">
      <c r="I938" s="324"/>
    </row>
    <row r="939" ht="15.75" customHeight="1">
      <c r="I939" s="324"/>
    </row>
    <row r="940" ht="15.75" customHeight="1">
      <c r="I940" s="324"/>
    </row>
    <row r="941" ht="15.75" customHeight="1">
      <c r="I941" s="324"/>
    </row>
    <row r="942" ht="15.75" customHeight="1">
      <c r="I942" s="324"/>
    </row>
    <row r="943" ht="15.75" customHeight="1">
      <c r="I943" s="324"/>
    </row>
    <row r="944" ht="15.75" customHeight="1">
      <c r="I944" s="324"/>
    </row>
    <row r="945" ht="15.75" customHeight="1">
      <c r="I945" s="324"/>
    </row>
    <row r="946" ht="15.75" customHeight="1">
      <c r="I946" s="324"/>
    </row>
    <row r="947" ht="15.75" customHeight="1">
      <c r="I947" s="324"/>
    </row>
    <row r="948" ht="15.75" customHeight="1">
      <c r="I948" s="324"/>
    </row>
    <row r="949" ht="15.75" customHeight="1">
      <c r="I949" s="324"/>
    </row>
    <row r="950" ht="15.75" customHeight="1">
      <c r="I950" s="324"/>
    </row>
    <row r="951" ht="15.75" customHeight="1">
      <c r="I951" s="324"/>
    </row>
    <row r="952" ht="15.75" customHeight="1">
      <c r="I952" s="324"/>
    </row>
    <row r="953" ht="15.75" customHeight="1">
      <c r="I953" s="324"/>
    </row>
    <row r="954" ht="15.75" customHeight="1">
      <c r="I954" s="324"/>
    </row>
    <row r="955" ht="15.75" customHeight="1">
      <c r="I955" s="324"/>
    </row>
    <row r="956" ht="15.75" customHeight="1">
      <c r="I956" s="324"/>
    </row>
    <row r="957" ht="15.75" customHeight="1">
      <c r="I957" s="324"/>
    </row>
    <row r="958" ht="15.75" customHeight="1">
      <c r="I958" s="324"/>
    </row>
    <row r="959" ht="15.75" customHeight="1">
      <c r="I959" s="324"/>
    </row>
    <row r="960" ht="15.75" customHeight="1">
      <c r="I960" s="324"/>
    </row>
    <row r="961" ht="15.75" customHeight="1">
      <c r="I961" s="324"/>
    </row>
    <row r="962" ht="15.75" customHeight="1">
      <c r="I962" s="324"/>
    </row>
    <row r="963" ht="15.75" customHeight="1">
      <c r="I963" s="324"/>
    </row>
    <row r="964" ht="15.75" customHeight="1">
      <c r="I964" s="324"/>
    </row>
    <row r="965" ht="15.75" customHeight="1">
      <c r="I965" s="324"/>
    </row>
    <row r="966" ht="15.75" customHeight="1">
      <c r="I966" s="324"/>
    </row>
    <row r="967" ht="15.75" customHeight="1">
      <c r="I967" s="324"/>
    </row>
    <row r="968" ht="15.75" customHeight="1">
      <c r="I968" s="324"/>
    </row>
    <row r="969" ht="15.75" customHeight="1">
      <c r="I969" s="324"/>
    </row>
    <row r="970" ht="15.75" customHeight="1">
      <c r="I970" s="324"/>
    </row>
    <row r="971" ht="15.75" customHeight="1">
      <c r="I971" s="324"/>
    </row>
    <row r="972" ht="15.75" customHeight="1">
      <c r="I972" s="324"/>
    </row>
    <row r="973" ht="15.75" customHeight="1">
      <c r="I973" s="324"/>
    </row>
    <row r="974" ht="15.75" customHeight="1">
      <c r="I974" s="324"/>
    </row>
    <row r="975" ht="15.75" customHeight="1">
      <c r="I975" s="324"/>
    </row>
    <row r="976" ht="15.75" customHeight="1">
      <c r="I976" s="324"/>
    </row>
    <row r="977" ht="15.75" customHeight="1">
      <c r="I977" s="324"/>
    </row>
    <row r="978" ht="15.75" customHeight="1">
      <c r="I978" s="324"/>
    </row>
    <row r="979" ht="15.75" customHeight="1">
      <c r="I979" s="324"/>
    </row>
    <row r="980" ht="15.75" customHeight="1">
      <c r="I980" s="324"/>
    </row>
    <row r="981" ht="15.75" customHeight="1">
      <c r="I981" s="324"/>
    </row>
    <row r="982" ht="15.75" customHeight="1">
      <c r="I982" s="324"/>
    </row>
    <row r="983" ht="15.75" customHeight="1">
      <c r="I983" s="324"/>
    </row>
    <row r="984" ht="15.75" customHeight="1">
      <c r="I984" s="324"/>
    </row>
    <row r="985" ht="15.75" customHeight="1">
      <c r="I985" s="324"/>
    </row>
    <row r="986" ht="15.75" customHeight="1">
      <c r="I986" s="324"/>
    </row>
    <row r="987" ht="15.75" customHeight="1">
      <c r="I987" s="324"/>
    </row>
    <row r="988" ht="15.75" customHeight="1">
      <c r="I988" s="324"/>
    </row>
    <row r="989" ht="15.75" customHeight="1">
      <c r="I989" s="324"/>
    </row>
    <row r="990" ht="15.75" customHeight="1">
      <c r="I990" s="324"/>
    </row>
    <row r="991" ht="15.75" customHeight="1">
      <c r="I991" s="324"/>
    </row>
    <row r="992" ht="15.75" customHeight="1">
      <c r="I992" s="324"/>
    </row>
    <row r="993" ht="15.75" customHeight="1">
      <c r="I993" s="324"/>
    </row>
    <row r="994" ht="15.75" customHeight="1">
      <c r="I994" s="324"/>
    </row>
    <row r="995" ht="15.75" customHeight="1">
      <c r="I995" s="324"/>
    </row>
  </sheetData>
  <printOptions/>
  <pageMargins bottom="0.75" footer="0.0" header="0.0" left="0.7" right="0.7" top="0.75"/>
  <pageSetup paperSize="9" scale="90" orientation="portrait"/>
  <headerFooter>
    <oddFooter>&amp;RGenerated by Treasury Financial Planning | Internal Use Only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39.75"/>
    <col customWidth="1" min="3" max="3" width="23.5"/>
    <col customWidth="1" min="4" max="4" width="22.0"/>
    <col customWidth="1" min="5" max="5" width="13.5"/>
    <col customWidth="1" min="6" max="6" width="12.5"/>
    <col customWidth="1" min="7" max="8" width="14.0"/>
    <col customWidth="1" min="9" max="9" width="15.38"/>
    <col customWidth="1" min="10" max="26" width="12.5"/>
  </cols>
  <sheetData>
    <row r="1" ht="15.0" customHeight="1">
      <c r="F1" s="366"/>
    </row>
    <row r="2" ht="15.0" customHeight="1">
      <c r="C2" s="367"/>
      <c r="D2" s="1"/>
      <c r="E2" s="1"/>
      <c r="F2" s="74"/>
      <c r="G2" s="368" t="s">
        <v>97</v>
      </c>
      <c r="H2" s="369">
        <f>Today()</f>
        <v>46109</v>
      </c>
      <c r="I2" s="228"/>
    </row>
    <row r="3" ht="15.0" customHeight="1">
      <c r="B3" s="370" t="s">
        <v>409</v>
      </c>
      <c r="C3" s="71"/>
      <c r="D3" s="1"/>
      <c r="E3" s="1"/>
      <c r="F3" s="74"/>
      <c r="G3" s="1"/>
      <c r="H3" s="1"/>
      <c r="I3" s="228"/>
    </row>
    <row r="4" ht="15.0" customHeight="1">
      <c r="B4" s="1" t="s">
        <v>137</v>
      </c>
      <c r="C4" s="74" t="s">
        <v>410</v>
      </c>
      <c r="D4" s="74" t="s">
        <v>158</v>
      </c>
      <c r="E4" s="74" t="s">
        <v>159</v>
      </c>
      <c r="F4" s="74" t="s">
        <v>161</v>
      </c>
      <c r="G4" s="74" t="s">
        <v>8</v>
      </c>
      <c r="H4" s="74" t="s">
        <v>165</v>
      </c>
      <c r="I4" s="371" t="s">
        <v>6</v>
      </c>
    </row>
    <row r="5" ht="15.0" customHeight="1">
      <c r="B5" s="2" t="s">
        <v>12</v>
      </c>
      <c r="C5" s="372">
        <v>2.0E9</v>
      </c>
      <c r="D5" s="119">
        <v>45895.0</v>
      </c>
      <c r="E5" s="119">
        <v>46240.0</v>
      </c>
      <c r="F5" s="116">
        <v>0.1088</v>
      </c>
      <c r="G5" s="373">
        <f t="shared" ref="G5:G7" si="1">E5-D5</f>
        <v>345</v>
      </c>
      <c r="H5" s="373">
        <f t="shared" ref="H5:H7" si="2">E5-$H$2</f>
        <v>131</v>
      </c>
      <c r="I5" s="374">
        <f t="shared" ref="I5:I14" si="3">C5/$C$19</f>
        <v>0.2163458463</v>
      </c>
    </row>
    <row r="6" ht="15.0" customHeight="1">
      <c r="B6" s="2" t="s">
        <v>14</v>
      </c>
      <c r="C6" s="372">
        <v>5.0E8</v>
      </c>
      <c r="D6" s="119">
        <v>46002.0</v>
      </c>
      <c r="E6" s="119">
        <v>46184.0</v>
      </c>
      <c r="F6" s="116">
        <v>0.1092</v>
      </c>
      <c r="G6" s="373">
        <f t="shared" si="1"/>
        <v>182</v>
      </c>
      <c r="H6" s="373">
        <f t="shared" si="2"/>
        <v>75</v>
      </c>
      <c r="I6" s="374">
        <f t="shared" si="3"/>
        <v>0.05408646159</v>
      </c>
    </row>
    <row r="7" ht="15.0" customHeight="1">
      <c r="B7" s="2" t="s">
        <v>12</v>
      </c>
      <c r="C7" s="375">
        <v>1.2E9</v>
      </c>
      <c r="D7" s="119">
        <v>46072.0</v>
      </c>
      <c r="E7" s="119">
        <f>D7+364</f>
        <v>46436</v>
      </c>
      <c r="F7" s="376">
        <v>0.1055</v>
      </c>
      <c r="G7" s="366">
        <f t="shared" si="1"/>
        <v>364</v>
      </c>
      <c r="H7" s="373">
        <f t="shared" si="2"/>
        <v>327</v>
      </c>
      <c r="I7" s="374">
        <f t="shared" si="3"/>
        <v>0.1298075078</v>
      </c>
    </row>
    <row r="8" ht="15.0" customHeight="1">
      <c r="B8" s="2" t="s">
        <v>15</v>
      </c>
      <c r="C8" s="375">
        <v>2.61777528E8</v>
      </c>
      <c r="D8" s="119"/>
      <c r="E8" s="119"/>
      <c r="F8" s="116">
        <v>0.1025</v>
      </c>
      <c r="G8" s="377">
        <v>1.0</v>
      </c>
      <c r="H8" s="377">
        <v>1.0</v>
      </c>
      <c r="I8" s="374">
        <f t="shared" si="3"/>
        <v>0.02831724042</v>
      </c>
    </row>
    <row r="9" ht="15.0" customHeight="1">
      <c r="B9" s="13" t="s">
        <v>18</v>
      </c>
      <c r="C9" s="378">
        <v>1.3E9</v>
      </c>
      <c r="D9" s="379">
        <v>46082.0</v>
      </c>
      <c r="E9" s="379">
        <v>46112.0</v>
      </c>
      <c r="F9" s="380">
        <v>0.1005</v>
      </c>
      <c r="G9" s="366">
        <v>30.0</v>
      </c>
      <c r="H9" s="366">
        <f>E9-H2</f>
        <v>3</v>
      </c>
      <c r="I9" s="374">
        <f t="shared" si="3"/>
        <v>0.1406248001</v>
      </c>
    </row>
    <row r="10" ht="15.0" customHeight="1">
      <c r="B10" s="381" t="s">
        <v>411</v>
      </c>
      <c r="C10" s="382">
        <v>8.16606719E8</v>
      </c>
      <c r="D10" s="119"/>
      <c r="E10" s="119"/>
      <c r="F10" s="383">
        <v>0.1</v>
      </c>
      <c r="G10" s="377">
        <f>0.78*365</f>
        <v>284.7</v>
      </c>
      <c r="H10" s="377">
        <f t="shared" ref="H10:H13" si="4">1*G10</f>
        <v>284.7</v>
      </c>
      <c r="I10" s="374">
        <f t="shared" si="3"/>
        <v>0.08833473588</v>
      </c>
      <c r="L10" s="242">
        <v>100.0</v>
      </c>
      <c r="N10" s="384">
        <v>0.15</v>
      </c>
    </row>
    <row r="11" ht="15.0" customHeight="1">
      <c r="B11" s="385" t="s">
        <v>412</v>
      </c>
      <c r="C11" s="382">
        <v>3.03753987E8</v>
      </c>
      <c r="D11" s="119"/>
      <c r="E11" s="119"/>
      <c r="F11" s="383">
        <v>0.102</v>
      </c>
      <c r="G11" s="377">
        <v>1.0</v>
      </c>
      <c r="H11" s="377">
        <f t="shared" si="4"/>
        <v>1</v>
      </c>
      <c r="I11" s="374">
        <f t="shared" si="3"/>
        <v>0.0328579567</v>
      </c>
      <c r="L11" s="386">
        <v>0.1025</v>
      </c>
      <c r="M11" s="124">
        <f>$L$10*(L11*(90/365))</f>
        <v>2.52739726</v>
      </c>
      <c r="N11" s="124">
        <f t="shared" ref="N11:N14" si="5">M11*$N$10</f>
        <v>0.379109589</v>
      </c>
      <c r="O11" s="124">
        <f t="shared" ref="O11:O15" si="6">M11-N11</f>
        <v>2.148287671</v>
      </c>
      <c r="P11" s="124">
        <f>M11+L10</f>
        <v>102.5273973</v>
      </c>
      <c r="R11" s="384">
        <v>0.15</v>
      </c>
    </row>
    <row r="12" ht="15.0" customHeight="1">
      <c r="B12" s="385" t="s">
        <v>413</v>
      </c>
      <c r="C12" s="372">
        <v>5.0E8</v>
      </c>
      <c r="D12" s="119"/>
      <c r="E12" s="119"/>
      <c r="F12" s="383">
        <v>0.102</v>
      </c>
      <c r="G12" s="377">
        <f>0.22*365</f>
        <v>80.3</v>
      </c>
      <c r="H12" s="377">
        <f t="shared" si="4"/>
        <v>80.3</v>
      </c>
      <c r="I12" s="374">
        <f t="shared" si="3"/>
        <v>0.05408646159</v>
      </c>
      <c r="L12" s="386">
        <v>0.105</v>
      </c>
      <c r="M12" s="124">
        <f t="shared" ref="M12:M14" si="7">P11*(L12*(90/365))</f>
        <v>2.65447645</v>
      </c>
      <c r="N12" s="124">
        <f t="shared" si="5"/>
        <v>0.3981714674</v>
      </c>
      <c r="O12" s="124">
        <f t="shared" si="6"/>
        <v>2.256304982</v>
      </c>
      <c r="P12" s="387">
        <f t="shared" ref="P12:P14" si="8">P11+M12</f>
        <v>105.1818737</v>
      </c>
      <c r="Q12" s="124">
        <f>P11*L11*(90/365)</f>
        <v>2.591274629</v>
      </c>
    </row>
    <row r="13" ht="15.0" customHeight="1">
      <c r="B13" s="388" t="s">
        <v>414</v>
      </c>
      <c r="C13" s="378">
        <v>8.0E8</v>
      </c>
      <c r="D13" s="119"/>
      <c r="E13" s="119"/>
      <c r="F13" s="383">
        <v>0.1</v>
      </c>
      <c r="G13" s="377">
        <v>1.0</v>
      </c>
      <c r="H13" s="377">
        <f t="shared" si="4"/>
        <v>1</v>
      </c>
      <c r="I13" s="374">
        <f t="shared" si="3"/>
        <v>0.08653833854</v>
      </c>
      <c r="L13" s="386">
        <v>0.1075</v>
      </c>
      <c r="M13" s="124">
        <f t="shared" si="7"/>
        <v>2.788040077</v>
      </c>
      <c r="N13" s="124">
        <f t="shared" si="5"/>
        <v>0.4182060116</v>
      </c>
      <c r="O13" s="124">
        <f t="shared" si="6"/>
        <v>2.369834066</v>
      </c>
      <c r="P13" s="387">
        <f t="shared" si="8"/>
        <v>107.9699138</v>
      </c>
    </row>
    <row r="14" ht="15.0" customHeight="1">
      <c r="B14" s="2" t="s">
        <v>141</v>
      </c>
      <c r="C14" s="378">
        <v>2.75E8</v>
      </c>
      <c r="D14" s="379">
        <v>45713.0</v>
      </c>
      <c r="E14" s="119">
        <f>D14+180</f>
        <v>45893</v>
      </c>
      <c r="F14" s="389">
        <v>0.1309</v>
      </c>
      <c r="G14" s="373">
        <f>E14-D14</f>
        <v>180</v>
      </c>
      <c r="H14" s="373">
        <f>E14-$H$2</f>
        <v>-216</v>
      </c>
      <c r="I14" s="374">
        <f t="shared" si="3"/>
        <v>0.02974755387</v>
      </c>
      <c r="L14" s="384">
        <v>0.11</v>
      </c>
      <c r="M14" s="124">
        <f t="shared" si="7"/>
        <v>2.928499031</v>
      </c>
      <c r="N14" s="124">
        <f t="shared" si="5"/>
        <v>0.4392748547</v>
      </c>
      <c r="O14" s="124">
        <f t="shared" si="6"/>
        <v>2.489224177</v>
      </c>
      <c r="P14" s="387">
        <f t="shared" si="8"/>
        <v>110.8984128</v>
      </c>
    </row>
    <row r="15" ht="15.0" customHeight="1">
      <c r="B15" s="390" t="s">
        <v>415</v>
      </c>
      <c r="C15" s="391"/>
      <c r="D15" s="392"/>
      <c r="E15" s="393"/>
      <c r="F15" s="394"/>
      <c r="G15" s="393"/>
      <c r="H15" s="395"/>
      <c r="I15" s="396"/>
      <c r="M15" s="124">
        <f>SUM(M11:M14)</f>
        <v>10.89841282</v>
      </c>
      <c r="N15" s="124">
        <f>M15*N14</f>
        <v>4.787398708</v>
      </c>
      <c r="O15" s="124">
        <f t="shared" si="6"/>
        <v>6.111014111</v>
      </c>
      <c r="P15" s="387">
        <f>P14+L14</f>
        <v>111.0084128</v>
      </c>
    </row>
    <row r="16" ht="15.0" customHeight="1">
      <c r="B16" s="397" t="s">
        <v>416</v>
      </c>
      <c r="C16" s="375">
        <v>3.8402235E8</v>
      </c>
      <c r="D16" s="119">
        <v>46086.0</v>
      </c>
      <c r="E16" s="119">
        <f t="shared" ref="E16:E18" si="9">D16+364</f>
        <v>46450</v>
      </c>
      <c r="F16" s="376">
        <v>0.107</v>
      </c>
      <c r="G16" s="366">
        <f t="shared" ref="G16:G18" si="10">E16-D16</f>
        <v>364</v>
      </c>
      <c r="H16" s="373">
        <f t="shared" ref="H16:H18" si="11">E16-D16</f>
        <v>364</v>
      </c>
      <c r="I16" s="374">
        <f t="shared" ref="I16:I18" si="12">C16/$C$19</f>
        <v>0.04154082016</v>
      </c>
      <c r="P16" s="124">
        <f>P15/L10</f>
        <v>1.110084128</v>
      </c>
    </row>
    <row r="17">
      <c r="B17" s="397" t="s">
        <v>416</v>
      </c>
      <c r="C17" s="398">
        <v>4.515875E8</v>
      </c>
      <c r="D17" s="119">
        <v>46086.0</v>
      </c>
      <c r="E17" s="119">
        <f t="shared" si="9"/>
        <v>46450</v>
      </c>
      <c r="F17" s="376">
        <v>0.1072</v>
      </c>
      <c r="G17" s="366">
        <f t="shared" si="10"/>
        <v>364</v>
      </c>
      <c r="H17" s="373">
        <f t="shared" si="11"/>
        <v>364</v>
      </c>
      <c r="I17" s="374">
        <f t="shared" si="12"/>
        <v>0.04884953994</v>
      </c>
    </row>
    <row r="18">
      <c r="B18" s="397" t="s">
        <v>416</v>
      </c>
      <c r="C18" s="398">
        <v>4.517095E8</v>
      </c>
      <c r="D18" s="119">
        <v>46086.0</v>
      </c>
      <c r="E18" s="119">
        <f t="shared" si="9"/>
        <v>46450</v>
      </c>
      <c r="F18" s="376">
        <f>10.75%</f>
        <v>0.1075</v>
      </c>
      <c r="G18" s="373">
        <f t="shared" si="10"/>
        <v>364</v>
      </c>
      <c r="H18" s="373">
        <f t="shared" si="11"/>
        <v>364</v>
      </c>
      <c r="I18" s="374">
        <f t="shared" si="12"/>
        <v>0.04886273704</v>
      </c>
      <c r="P18" s="124">
        <f>P16-1</f>
        <v>0.1100841282</v>
      </c>
    </row>
    <row r="19">
      <c r="B19" s="399" t="s">
        <v>174</v>
      </c>
      <c r="C19" s="400">
        <f>SUM(C5:C14)+C16+C17+C18</f>
        <v>9244457584</v>
      </c>
      <c r="D19" s="401"/>
      <c r="E19" s="401"/>
      <c r="F19" s="402">
        <f>sumproduct(F5:F18,I5:I18)</f>
        <v>0.1053585469</v>
      </c>
      <c r="G19" s="403">
        <f>sumproduct(G5:G18,I5:I18)</f>
        <v>221.6341726</v>
      </c>
      <c r="H19" s="403">
        <f>sumproduct(H5:H18,I5:I18)</f>
        <v>149.1691314</v>
      </c>
      <c r="I19" s="404">
        <f>SUM(I5:I18)</f>
        <v>1</v>
      </c>
    </row>
    <row r="20" ht="15.0" customHeight="1">
      <c r="B20" s="242" t="s">
        <v>417</v>
      </c>
      <c r="J20" s="125"/>
    </row>
    <row r="21" ht="15.0" customHeight="1">
      <c r="B21" s="405" t="s">
        <v>418</v>
      </c>
      <c r="C21" s="406"/>
      <c r="D21" s="366"/>
      <c r="E21" s="366"/>
      <c r="F21" s="366"/>
      <c r="G21" s="366"/>
      <c r="H21" s="366"/>
      <c r="I21" s="366"/>
      <c r="J21" s="386"/>
    </row>
    <row r="22" ht="15.0" customHeight="1">
      <c r="B22" s="1" t="s">
        <v>137</v>
      </c>
      <c r="C22" s="74" t="s">
        <v>410</v>
      </c>
      <c r="D22" s="74" t="s">
        <v>158</v>
      </c>
      <c r="E22" s="74" t="s">
        <v>159</v>
      </c>
      <c r="F22" s="74" t="s">
        <v>161</v>
      </c>
      <c r="G22" s="74" t="s">
        <v>8</v>
      </c>
      <c r="H22" s="74" t="s">
        <v>165</v>
      </c>
      <c r="I22" s="371" t="s">
        <v>6</v>
      </c>
    </row>
    <row r="23">
      <c r="B23" s="2" t="s">
        <v>12</v>
      </c>
      <c r="C23" s="372">
        <v>2.0E9</v>
      </c>
      <c r="D23" s="119">
        <v>45895.0</v>
      </c>
      <c r="E23" s="119">
        <v>46240.0</v>
      </c>
      <c r="F23" s="116">
        <v>0.1088</v>
      </c>
      <c r="G23" s="373">
        <f t="shared" ref="G23:G25" si="13">E23-D23</f>
        <v>345</v>
      </c>
      <c r="H23" s="373">
        <f t="shared" ref="H23:H25" si="14">E23-$H$2</f>
        <v>131</v>
      </c>
      <c r="I23" s="374">
        <f t="shared" ref="I23:I31" si="15">C23/$C$19</f>
        <v>0.2163458463</v>
      </c>
    </row>
    <row r="24" ht="15.0" customHeight="1">
      <c r="B24" s="2" t="s">
        <v>13</v>
      </c>
      <c r="C24" s="372">
        <v>5.0E8</v>
      </c>
      <c r="D24" s="119">
        <v>46002.0</v>
      </c>
      <c r="E24" s="119">
        <v>46086.0</v>
      </c>
      <c r="F24" s="116">
        <v>0.1092</v>
      </c>
      <c r="G24" s="373">
        <f t="shared" si="13"/>
        <v>84</v>
      </c>
      <c r="H24" s="373">
        <f t="shared" si="14"/>
        <v>-23</v>
      </c>
      <c r="I24" s="374">
        <f t="shared" si="15"/>
        <v>0.05408646159</v>
      </c>
    </row>
    <row r="25" ht="15.0" customHeight="1">
      <c r="B25" s="2" t="s">
        <v>14</v>
      </c>
      <c r="C25" s="372">
        <v>5.0E8</v>
      </c>
      <c r="D25" s="119">
        <v>46002.0</v>
      </c>
      <c r="E25" s="119">
        <v>46184.0</v>
      </c>
      <c r="F25" s="116">
        <v>0.1092</v>
      </c>
      <c r="G25" s="373">
        <f t="shared" si="13"/>
        <v>182</v>
      </c>
      <c r="H25" s="378">
        <f t="shared" si="14"/>
        <v>75</v>
      </c>
      <c r="I25" s="374">
        <f t="shared" si="15"/>
        <v>0.05408646159</v>
      </c>
    </row>
    <row r="26" ht="15.0" customHeight="1">
      <c r="B26" s="2" t="s">
        <v>15</v>
      </c>
      <c r="C26" s="378">
        <f>2500000000+24096878</f>
        <v>2524096878</v>
      </c>
      <c r="D26" s="366"/>
      <c r="E26" s="366"/>
      <c r="F26" s="116">
        <v>0.1025</v>
      </c>
      <c r="G26" s="377">
        <v>1.0</v>
      </c>
      <c r="H26" s="375">
        <v>1.0</v>
      </c>
      <c r="I26" s="374">
        <f t="shared" si="15"/>
        <v>0.2730389377</v>
      </c>
    </row>
    <row r="27" ht="15.0" customHeight="1">
      <c r="B27" s="13" t="s">
        <v>18</v>
      </c>
      <c r="C27" s="378">
        <v>1.3E9</v>
      </c>
      <c r="D27" s="407">
        <v>46051.0</v>
      </c>
      <c r="E27" s="407">
        <v>46081.0</v>
      </c>
      <c r="F27" s="380">
        <v>0.1005</v>
      </c>
      <c r="G27" s="366">
        <v>30.0</v>
      </c>
      <c r="H27" s="378">
        <f>E27-$H$2</f>
        <v>-28</v>
      </c>
      <c r="I27" s="374">
        <f t="shared" si="15"/>
        <v>0.1406248001</v>
      </c>
    </row>
    <row r="28">
      <c r="B28" s="381" t="s">
        <v>411</v>
      </c>
      <c r="C28" s="382">
        <v>8.16606719E8</v>
      </c>
      <c r="D28" s="366"/>
      <c r="E28" s="366"/>
      <c r="F28" s="383">
        <v>0.1</v>
      </c>
      <c r="G28" s="377">
        <v>1.0</v>
      </c>
      <c r="H28" s="375">
        <v>1.0</v>
      </c>
      <c r="I28" s="374">
        <f t="shared" si="15"/>
        <v>0.08833473588</v>
      </c>
    </row>
    <row r="29">
      <c r="B29" s="385" t="s">
        <v>412</v>
      </c>
      <c r="C29" s="382">
        <v>3.03753987E8</v>
      </c>
      <c r="D29" s="366"/>
      <c r="E29" s="366"/>
      <c r="F29" s="376">
        <v>0.1015</v>
      </c>
      <c r="G29" s="377">
        <v>1.0</v>
      </c>
      <c r="H29" s="375">
        <v>1.0</v>
      </c>
      <c r="I29" s="374">
        <f t="shared" si="15"/>
        <v>0.0328579567</v>
      </c>
    </row>
    <row r="30">
      <c r="B30" s="385" t="s">
        <v>413</v>
      </c>
      <c r="C30" s="372">
        <v>5.0E8</v>
      </c>
      <c r="D30" s="366"/>
      <c r="E30" s="116"/>
      <c r="F30" s="376">
        <v>0.102</v>
      </c>
      <c r="G30" s="377">
        <v>1.0</v>
      </c>
      <c r="H30" s="375">
        <v>1.0</v>
      </c>
      <c r="I30" s="374">
        <f t="shared" si="15"/>
        <v>0.05408646159</v>
      </c>
    </row>
    <row r="31">
      <c r="B31" s="388" t="s">
        <v>414</v>
      </c>
      <c r="C31" s="378">
        <v>8.0E8</v>
      </c>
      <c r="D31" s="366"/>
      <c r="E31" s="366"/>
      <c r="F31" s="408">
        <v>0.1</v>
      </c>
      <c r="G31" s="377">
        <v>1.0</v>
      </c>
      <c r="H31" s="375">
        <v>1.0</v>
      </c>
      <c r="I31" s="374">
        <f t="shared" si="15"/>
        <v>0.08653833854</v>
      </c>
    </row>
    <row r="32">
      <c r="B32" s="399" t="s">
        <v>174</v>
      </c>
      <c r="C32" s="400">
        <f>sum(C23:C31)</f>
        <v>9244457584</v>
      </c>
      <c r="D32" s="401"/>
      <c r="E32" s="401"/>
      <c r="F32" s="402">
        <f>sumproduct(F23:F31,I23:I31)</f>
        <v>0.1038094039</v>
      </c>
      <c r="G32" s="403">
        <f>sumproduct(G23:G31,I23:I31)</f>
        <v>93.7799162</v>
      </c>
      <c r="H32" s="403">
        <f>sumproduct(H23:H31,I23:I31)</f>
        <v>27.7511639</v>
      </c>
      <c r="I32" s="404">
        <f>sum(I23:I31)</f>
        <v>1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5.13"/>
    <col customWidth="1" min="2" max="13" width="10.63"/>
  </cols>
  <sheetData>
    <row r="1">
      <c r="A1" s="409" t="s">
        <v>169</v>
      </c>
      <c r="B1" s="410">
        <v>46100.0</v>
      </c>
      <c r="C1" s="410">
        <v>46105.0</v>
      </c>
      <c r="D1" s="410">
        <v>46106.0</v>
      </c>
      <c r="E1" s="410">
        <v>46107.0</v>
      </c>
      <c r="F1" s="410">
        <v>46108.0</v>
      </c>
      <c r="G1" s="410"/>
      <c r="H1" s="410"/>
      <c r="I1" s="410"/>
      <c r="J1" s="410"/>
      <c r="K1" s="410"/>
      <c r="L1" s="410"/>
      <c r="M1" s="410"/>
    </row>
    <row r="2">
      <c r="A2" s="411" t="s">
        <v>419</v>
      </c>
      <c r="B2" s="412">
        <v>10.5</v>
      </c>
      <c r="C2" s="413">
        <v>10.49</v>
      </c>
      <c r="D2" s="412">
        <v>10.48</v>
      </c>
      <c r="E2" s="413">
        <v>10.5</v>
      </c>
      <c r="F2" s="412">
        <v>10.51</v>
      </c>
      <c r="G2" s="413"/>
      <c r="H2" s="412"/>
      <c r="I2" s="413"/>
      <c r="J2" s="412"/>
      <c r="K2" s="413"/>
      <c r="L2" s="412"/>
      <c r="M2" s="413"/>
    </row>
    <row r="3">
      <c r="A3" s="411" t="s">
        <v>420</v>
      </c>
      <c r="B3" s="412">
        <v>10.58</v>
      </c>
      <c r="C3" s="413">
        <v>10.56</v>
      </c>
      <c r="D3" s="412">
        <v>10.56</v>
      </c>
      <c r="E3" s="413">
        <v>10.57</v>
      </c>
      <c r="F3" s="412">
        <v>10.61</v>
      </c>
      <c r="G3" s="413"/>
      <c r="H3" s="412"/>
      <c r="I3" s="413"/>
      <c r="J3" s="412"/>
      <c r="K3" s="413"/>
      <c r="L3" s="412"/>
      <c r="M3" s="413"/>
    </row>
    <row r="4">
      <c r="A4" s="411" t="s">
        <v>421</v>
      </c>
      <c r="B4" s="412">
        <v>10.85</v>
      </c>
      <c r="C4" s="413">
        <v>10.82</v>
      </c>
      <c r="D4" s="412">
        <v>10.77</v>
      </c>
      <c r="E4" s="413">
        <v>10.77</v>
      </c>
      <c r="F4" s="412">
        <v>10.87</v>
      </c>
      <c r="G4" s="413"/>
      <c r="H4" s="412"/>
      <c r="I4" s="413"/>
      <c r="J4" s="412"/>
      <c r="K4" s="413"/>
      <c r="L4" s="412"/>
      <c r="M4" s="413"/>
    </row>
    <row r="5">
      <c r="A5" s="411" t="s">
        <v>422</v>
      </c>
      <c r="B5" s="412">
        <v>11.03</v>
      </c>
      <c r="C5" s="413">
        <v>11.03</v>
      </c>
      <c r="D5" s="412">
        <v>11.01</v>
      </c>
      <c r="E5" s="413">
        <v>11.03</v>
      </c>
      <c r="F5" s="412">
        <v>11.08</v>
      </c>
      <c r="G5" s="413"/>
      <c r="H5" s="412"/>
      <c r="I5" s="413"/>
      <c r="J5" s="412"/>
      <c r="K5" s="413"/>
      <c r="L5" s="412"/>
      <c r="M5" s="413"/>
    </row>
    <row r="6">
      <c r="A6" s="411" t="s">
        <v>423</v>
      </c>
      <c r="B6" s="412">
        <v>11.16</v>
      </c>
      <c r="C6" s="413">
        <v>11.16</v>
      </c>
      <c r="D6" s="412">
        <v>11.16</v>
      </c>
      <c r="E6" s="413">
        <v>11.18</v>
      </c>
      <c r="F6" s="412">
        <v>11.24</v>
      </c>
      <c r="G6" s="413"/>
      <c r="H6" s="412"/>
      <c r="I6" s="413"/>
      <c r="J6" s="412"/>
      <c r="K6" s="413"/>
      <c r="L6" s="412"/>
      <c r="M6" s="413"/>
    </row>
    <row r="7">
      <c r="A7" s="411" t="s">
        <v>424</v>
      </c>
      <c r="B7" s="412">
        <v>11.28</v>
      </c>
      <c r="C7" s="413">
        <v>11.28</v>
      </c>
      <c r="D7" s="412">
        <v>11.28</v>
      </c>
      <c r="E7" s="413">
        <v>11.32</v>
      </c>
      <c r="F7" s="412">
        <v>11.41</v>
      </c>
      <c r="G7" s="413"/>
      <c r="H7" s="412"/>
      <c r="I7" s="413"/>
      <c r="J7" s="412"/>
      <c r="K7" s="413"/>
      <c r="L7" s="412"/>
      <c r="M7" s="413"/>
    </row>
    <row r="8">
      <c r="A8" s="411" t="s">
        <v>173</v>
      </c>
      <c r="B8" s="412">
        <v>11.36</v>
      </c>
      <c r="C8" s="413">
        <v>11.34</v>
      </c>
      <c r="D8" s="412">
        <v>11.34</v>
      </c>
      <c r="E8" s="413">
        <v>11.44</v>
      </c>
      <c r="F8" s="412">
        <v>11.56</v>
      </c>
      <c r="G8" s="413"/>
      <c r="H8" s="412"/>
      <c r="I8" s="413"/>
      <c r="J8" s="412"/>
      <c r="K8" s="413"/>
      <c r="L8" s="412"/>
      <c r="M8" s="413"/>
    </row>
    <row r="9">
      <c r="A9" s="411" t="s">
        <v>425</v>
      </c>
      <c r="B9" s="412">
        <v>11.67</v>
      </c>
      <c r="C9" s="413">
        <v>11.68</v>
      </c>
      <c r="D9" s="412">
        <v>11.69</v>
      </c>
      <c r="E9" s="413">
        <v>11.72</v>
      </c>
      <c r="F9" s="412">
        <v>11.9</v>
      </c>
      <c r="G9" s="413"/>
      <c r="H9" s="412"/>
      <c r="I9" s="413"/>
      <c r="J9" s="412"/>
      <c r="K9" s="413"/>
      <c r="L9" s="412"/>
      <c r="M9" s="413"/>
    </row>
    <row r="10">
      <c r="A10" s="411" t="s">
        <v>172</v>
      </c>
      <c r="B10" s="412">
        <v>11.63</v>
      </c>
      <c r="C10" s="413">
        <v>11.65</v>
      </c>
      <c r="D10" s="412">
        <v>11.66</v>
      </c>
      <c r="E10" s="413">
        <v>11.72</v>
      </c>
      <c r="F10" s="412">
        <v>11.88</v>
      </c>
      <c r="G10" s="413"/>
      <c r="H10" s="412"/>
      <c r="I10" s="413"/>
      <c r="J10" s="412"/>
      <c r="K10" s="413"/>
      <c r="L10" s="412"/>
      <c r="M10" s="413"/>
    </row>
    <row r="11">
      <c r="A11" s="411" t="s">
        <v>426</v>
      </c>
      <c r="B11" s="412">
        <v>11.58</v>
      </c>
      <c r="C11" s="413">
        <v>11.57</v>
      </c>
      <c r="D11" s="412">
        <v>11.57</v>
      </c>
      <c r="E11" s="413">
        <v>11.68</v>
      </c>
      <c r="F11" s="412">
        <v>12.37</v>
      </c>
      <c r="G11" s="413"/>
      <c r="H11" s="412"/>
      <c r="I11" s="413"/>
      <c r="J11" s="412"/>
      <c r="K11" s="413"/>
      <c r="L11" s="412"/>
      <c r="M11" s="413"/>
    </row>
    <row r="12">
      <c r="A12" s="411" t="s">
        <v>427</v>
      </c>
      <c r="B12" s="412">
        <v>11.55</v>
      </c>
      <c r="C12" s="413">
        <v>11.54</v>
      </c>
      <c r="D12" s="412">
        <v>11.53</v>
      </c>
      <c r="E12" s="413">
        <v>11.61</v>
      </c>
      <c r="F12" s="412">
        <v>12.4</v>
      </c>
      <c r="G12" s="413"/>
      <c r="H12" s="412"/>
      <c r="I12" s="413"/>
      <c r="J12" s="412"/>
      <c r="K12" s="413"/>
      <c r="L12" s="412"/>
      <c r="M12" s="413"/>
    </row>
    <row r="13">
      <c r="A13" s="411" t="s">
        <v>428</v>
      </c>
      <c r="B13" s="412">
        <v>11.96</v>
      </c>
      <c r="C13" s="413">
        <v>11.96</v>
      </c>
      <c r="D13" s="412">
        <v>11.96</v>
      </c>
      <c r="E13" s="413">
        <v>12.19</v>
      </c>
      <c r="F13" s="412">
        <v>12.43</v>
      </c>
      <c r="G13" s="413"/>
      <c r="H13" s="412"/>
      <c r="I13" s="413"/>
      <c r="J13" s="412"/>
      <c r="K13" s="413"/>
      <c r="L13" s="412"/>
      <c r="M13" s="413"/>
    </row>
    <row r="14">
      <c r="A14" s="411" t="s">
        <v>429</v>
      </c>
      <c r="B14" s="412">
        <v>12.05</v>
      </c>
      <c r="C14" s="413">
        <v>12.0</v>
      </c>
      <c r="D14" s="412">
        <v>11.99</v>
      </c>
      <c r="E14" s="413">
        <v>12.26</v>
      </c>
      <c r="F14" s="412">
        <v>12.47</v>
      </c>
      <c r="G14" s="413"/>
      <c r="H14" s="412"/>
      <c r="I14" s="413"/>
      <c r="J14" s="412"/>
      <c r="K14" s="413"/>
      <c r="L14" s="412"/>
      <c r="M14" s="413"/>
    </row>
    <row r="15">
      <c r="A15" s="411" t="s">
        <v>430</v>
      </c>
      <c r="B15" s="412">
        <v>12.15</v>
      </c>
      <c r="C15" s="413">
        <v>12.12</v>
      </c>
      <c r="D15" s="412">
        <v>12.11</v>
      </c>
      <c r="E15" s="413">
        <v>12.33</v>
      </c>
      <c r="F15" s="412">
        <v>12.53</v>
      </c>
      <c r="G15" s="413"/>
      <c r="H15" s="412"/>
      <c r="I15" s="413"/>
      <c r="J15" s="412"/>
      <c r="K15" s="413"/>
      <c r="L15" s="412"/>
      <c r="M15" s="413"/>
    </row>
    <row r="16">
      <c r="A16" s="411" t="s">
        <v>431</v>
      </c>
      <c r="B16" s="412">
        <v>12.23</v>
      </c>
      <c r="C16" s="413">
        <v>12.22</v>
      </c>
      <c r="D16" s="412">
        <v>12.21</v>
      </c>
      <c r="E16" s="413">
        <v>12.42</v>
      </c>
      <c r="F16" s="412">
        <v>12.57</v>
      </c>
      <c r="G16" s="413"/>
      <c r="H16" s="412"/>
      <c r="I16" s="413"/>
      <c r="J16" s="412"/>
      <c r="K16" s="413"/>
      <c r="L16" s="412"/>
      <c r="M16" s="413"/>
    </row>
    <row r="17">
      <c r="A17" s="411" t="s">
        <v>432</v>
      </c>
      <c r="B17" s="412">
        <v>12.32</v>
      </c>
      <c r="C17" s="413">
        <v>12.32</v>
      </c>
      <c r="D17" s="412">
        <v>12.3</v>
      </c>
      <c r="E17" s="413">
        <v>12.49</v>
      </c>
      <c r="F17" s="412">
        <v>12.61</v>
      </c>
      <c r="G17" s="413"/>
      <c r="H17" s="412"/>
      <c r="I17" s="413"/>
      <c r="J17" s="412"/>
      <c r="K17" s="413"/>
      <c r="L17" s="412"/>
      <c r="M17" s="413"/>
    </row>
    <row r="18">
      <c r="A18" s="411" t="s">
        <v>433</v>
      </c>
      <c r="B18" s="412">
        <v>12.41</v>
      </c>
      <c r="C18" s="413">
        <v>12.42</v>
      </c>
      <c r="D18" s="412">
        <v>12.4</v>
      </c>
      <c r="E18" s="413">
        <v>12.56</v>
      </c>
      <c r="F18" s="412">
        <v>12.65</v>
      </c>
      <c r="G18" s="413"/>
      <c r="H18" s="412"/>
      <c r="I18" s="413"/>
      <c r="J18" s="412"/>
      <c r="K18" s="413"/>
      <c r="L18" s="412"/>
      <c r="M18" s="413"/>
    </row>
    <row r="19">
      <c r="A19" s="411" t="s">
        <v>434</v>
      </c>
      <c r="B19" s="412">
        <v>12.49</v>
      </c>
      <c r="C19" s="413">
        <v>12.5</v>
      </c>
      <c r="D19" s="412">
        <v>12.5</v>
      </c>
      <c r="E19" s="413">
        <v>12.63</v>
      </c>
      <c r="F19" s="412">
        <v>12.73</v>
      </c>
      <c r="G19" s="413"/>
      <c r="H19" s="412"/>
      <c r="I19" s="413"/>
      <c r="J19" s="412"/>
      <c r="K19" s="413"/>
      <c r="L19" s="412"/>
      <c r="M19" s="413"/>
    </row>
    <row r="20">
      <c r="A20" s="411" t="s">
        <v>435</v>
      </c>
      <c r="B20" s="412">
        <v>12.64</v>
      </c>
      <c r="C20" s="413">
        <v>12.67</v>
      </c>
      <c r="D20" s="412">
        <v>12.68</v>
      </c>
      <c r="E20" s="413">
        <v>12.77</v>
      </c>
      <c r="F20" s="412">
        <v>12.71</v>
      </c>
      <c r="G20" s="413"/>
      <c r="H20" s="412"/>
      <c r="I20" s="413"/>
      <c r="J20" s="412"/>
      <c r="K20" s="413"/>
      <c r="L20" s="412"/>
      <c r="M20" s="413"/>
    </row>
    <row r="21">
      <c r="A21" s="411" t="s">
        <v>436</v>
      </c>
      <c r="B21" s="412">
        <v>12.73</v>
      </c>
      <c r="C21" s="413">
        <v>12.76</v>
      </c>
      <c r="D21" s="412">
        <v>12.77</v>
      </c>
      <c r="E21" s="413">
        <v>12.88</v>
      </c>
      <c r="F21" s="412">
        <v>12.83</v>
      </c>
      <c r="G21" s="413"/>
      <c r="H21" s="412"/>
      <c r="I21" s="413"/>
      <c r="J21" s="412"/>
      <c r="K21" s="413"/>
      <c r="L21" s="412"/>
      <c r="M21" s="4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2" t="s">
        <v>437</v>
      </c>
      <c r="B1" s="242" t="s">
        <v>97</v>
      </c>
      <c r="C1" s="242" t="s">
        <v>438</v>
      </c>
    </row>
    <row r="2">
      <c r="A2" s="414">
        <v>46108.52407407408</v>
      </c>
      <c r="B2" s="415">
        <v>46108.0</v>
      </c>
      <c r="C2" s="242" t="s">
        <v>439</v>
      </c>
    </row>
    <row r="3">
      <c r="A3" s="414">
        <v>46108.52421296296</v>
      </c>
      <c r="B3" s="415">
        <v>46107.0</v>
      </c>
      <c r="C3" s="242" t="s">
        <v>440</v>
      </c>
    </row>
    <row r="4">
      <c r="A4" s="414">
        <v>46108.75209490741</v>
      </c>
      <c r="B4" s="415">
        <v>46108.0</v>
      </c>
      <c r="C4" s="242" t="s">
        <v>441</v>
      </c>
    </row>
    <row r="5">
      <c r="A5" s="414">
        <v>46108.752222222225</v>
      </c>
      <c r="B5" s="415">
        <v>46107.0</v>
      </c>
      <c r="C5" s="242" t="s">
        <v>440</v>
      </c>
    </row>
    <row r="6">
      <c r="A6" s="414">
        <v>46109.7521412037</v>
      </c>
      <c r="B6" s="415">
        <v>46108.0</v>
      </c>
      <c r="C6" s="242" t="s">
        <v>441</v>
      </c>
    </row>
    <row r="7">
      <c r="A7" s="414">
        <v>46109.75231481482</v>
      </c>
      <c r="B7" s="415">
        <v>46107.0</v>
      </c>
      <c r="C7" s="242" t="s">
        <v>440</v>
      </c>
    </row>
    <row r="8">
      <c r="A8" s="414">
        <v>46109.86620370371</v>
      </c>
      <c r="B8" s="415">
        <v>46108.0</v>
      </c>
      <c r="C8" s="242" t="s">
        <v>441</v>
      </c>
    </row>
    <row r="9">
      <c r="A9" s="414">
        <v>46109.86634259259</v>
      </c>
      <c r="B9" s="415">
        <v>46107.0</v>
      </c>
      <c r="C9" s="242" t="s">
        <v>440</v>
      </c>
    </row>
    <row r="10">
      <c r="A10" s="414">
        <v>46109.868414351855</v>
      </c>
      <c r="B10" s="415">
        <v>46107.0</v>
      </c>
      <c r="C10" s="242" t="s">
        <v>441</v>
      </c>
    </row>
    <row r="11">
      <c r="A11" s="414">
        <v>46109.86854166666</v>
      </c>
      <c r="B11" s="415">
        <v>46106.0</v>
      </c>
      <c r="C11" s="242" t="s">
        <v>440</v>
      </c>
    </row>
    <row r="12">
      <c r="A12" s="414">
        <v>46109.870034722226</v>
      </c>
      <c r="B12" s="415">
        <v>46107.0</v>
      </c>
      <c r="C12" s="242" t="s">
        <v>441</v>
      </c>
    </row>
    <row r="13">
      <c r="A13" s="414">
        <v>46109.8703125</v>
      </c>
      <c r="B13" s="415">
        <v>46105.0</v>
      </c>
      <c r="C13" s="242" t="s">
        <v>442</v>
      </c>
    </row>
    <row r="14">
      <c r="A14" s="414">
        <v>46109.87138888889</v>
      </c>
      <c r="B14" s="415">
        <v>46103.0</v>
      </c>
      <c r="C14" s="242" t="s">
        <v>439</v>
      </c>
    </row>
    <row r="15">
      <c r="A15" s="414">
        <v>46109.874085648145</v>
      </c>
      <c r="B15" s="415">
        <v>46080.0</v>
      </c>
      <c r="C15" s="242" t="s">
        <v>439</v>
      </c>
    </row>
    <row r="16">
      <c r="A16" s="414">
        <v>46109.8746875</v>
      </c>
      <c r="B16" s="416">
        <v>46083.0</v>
      </c>
      <c r="C16" s="242" t="s">
        <v>439</v>
      </c>
    </row>
    <row r="17">
      <c r="A17" s="414">
        <v>46109.87527777778</v>
      </c>
      <c r="B17" s="416">
        <v>46084.0</v>
      </c>
      <c r="C17" s="242" t="s">
        <v>439</v>
      </c>
    </row>
    <row r="18">
      <c r="A18" s="414">
        <v>46109.87583333333</v>
      </c>
      <c r="B18" s="416">
        <v>46085.0</v>
      </c>
      <c r="C18" s="242" t="s">
        <v>439</v>
      </c>
    </row>
    <row r="19">
      <c r="A19" s="414">
        <v>46109.876388888886</v>
      </c>
      <c r="B19" s="416">
        <v>46086.0</v>
      </c>
      <c r="C19" s="242" t="s">
        <v>439</v>
      </c>
    </row>
    <row r="20">
      <c r="A20" s="414">
        <v>46109.876967592594</v>
      </c>
      <c r="B20" s="416">
        <v>46087.0</v>
      </c>
      <c r="C20" s="242" t="s">
        <v>439</v>
      </c>
    </row>
    <row r="21">
      <c r="A21" s="414">
        <v>46109.877534722225</v>
      </c>
      <c r="B21" s="416">
        <v>46090.0</v>
      </c>
      <c r="C21" s="242" t="s">
        <v>439</v>
      </c>
    </row>
    <row r="22">
      <c r="A22" s="414">
        <v>46109.87792824074</v>
      </c>
      <c r="B22" s="415">
        <v>46080.0</v>
      </c>
      <c r="C22" s="242" t="s">
        <v>439</v>
      </c>
    </row>
    <row r="23">
      <c r="A23" s="414">
        <v>46109.878113425926</v>
      </c>
      <c r="B23" s="415">
        <v>46091.0</v>
      </c>
      <c r="C23" s="242" t="s">
        <v>439</v>
      </c>
    </row>
    <row r="24">
      <c r="A24" s="414">
        <v>46109.87847222222</v>
      </c>
      <c r="B24" s="416">
        <v>46083.0</v>
      </c>
      <c r="C24" s="242" t="s">
        <v>439</v>
      </c>
    </row>
    <row r="25">
      <c r="A25" s="414">
        <v>46109.878657407404</v>
      </c>
      <c r="B25" s="415">
        <v>46092.0</v>
      </c>
      <c r="C25" s="242" t="s">
        <v>439</v>
      </c>
    </row>
    <row r="26">
      <c r="A26" s="414">
        <v>46109.879016203704</v>
      </c>
      <c r="B26" s="416">
        <v>46084.0</v>
      </c>
      <c r="C26" s="242" t="s">
        <v>439</v>
      </c>
    </row>
    <row r="27">
      <c r="A27" s="414">
        <v>46109.879224537035</v>
      </c>
      <c r="B27" s="415">
        <v>46093.0</v>
      </c>
      <c r="C27" s="242" t="s">
        <v>439</v>
      </c>
    </row>
    <row r="28">
      <c r="A28" s="414">
        <v>46109.879537037035</v>
      </c>
      <c r="B28" s="416">
        <v>46085.0</v>
      </c>
      <c r="C28" s="242" t="s">
        <v>439</v>
      </c>
    </row>
    <row r="29">
      <c r="A29" s="414">
        <v>46109.87976851852</v>
      </c>
      <c r="B29" s="415">
        <v>46094.0</v>
      </c>
      <c r="C29" s="242" t="s">
        <v>439</v>
      </c>
    </row>
    <row r="30">
      <c r="A30" s="414">
        <v>46109.88008101852</v>
      </c>
      <c r="B30" s="416">
        <v>46086.0</v>
      </c>
      <c r="C30" s="242" t="s">
        <v>439</v>
      </c>
    </row>
    <row r="31">
      <c r="A31" s="414">
        <v>46109.8803125</v>
      </c>
      <c r="B31" s="415">
        <v>46097.0</v>
      </c>
      <c r="C31" s="242" t="s">
        <v>443</v>
      </c>
    </row>
    <row r="32">
      <c r="A32" s="414">
        <v>46109.880428240744</v>
      </c>
      <c r="B32" s="415">
        <v>46098.0</v>
      </c>
      <c r="C32" s="242" t="s">
        <v>444</v>
      </c>
    </row>
    <row r="33">
      <c r="A33" s="414">
        <v>46109.88061342593</v>
      </c>
      <c r="B33" s="416">
        <v>46087.0</v>
      </c>
      <c r="C33" s="242" t="s">
        <v>439</v>
      </c>
    </row>
    <row r="34">
      <c r="A34" s="414">
        <v>46109.88097222222</v>
      </c>
      <c r="B34" s="415">
        <v>46099.0</v>
      </c>
      <c r="C34" s="242" t="s">
        <v>439</v>
      </c>
    </row>
    <row r="35">
      <c r="A35" s="414">
        <v>46109.881157407406</v>
      </c>
      <c r="B35" s="416">
        <v>46090.0</v>
      </c>
      <c r="C35" s="242" t="s">
        <v>445</v>
      </c>
    </row>
    <row r="36">
      <c r="A36" s="414">
        <v>46109.88125</v>
      </c>
      <c r="B36" s="415">
        <v>46100.0</v>
      </c>
      <c r="C36" s="242" t="s">
        <v>446</v>
      </c>
    </row>
    <row r="37">
      <c r="A37" s="414">
        <v>46109.88128472222</v>
      </c>
      <c r="B37" s="415">
        <v>46091.0</v>
      </c>
      <c r="C37" s="242" t="s">
        <v>447</v>
      </c>
    </row>
    <row r="38">
      <c r="A38" s="414">
        <v>46109.88138888889</v>
      </c>
      <c r="B38" s="415">
        <v>46092.0</v>
      </c>
      <c r="C38" s="242" t="s">
        <v>448</v>
      </c>
    </row>
    <row r="39">
      <c r="A39" s="414">
        <v>46109.88150462963</v>
      </c>
      <c r="B39" s="415">
        <v>46093.0</v>
      </c>
      <c r="C39" s="242" t="s">
        <v>449</v>
      </c>
    </row>
    <row r="40">
      <c r="A40" s="414">
        <v>46109.881631944445</v>
      </c>
      <c r="B40" s="415">
        <v>46094.0</v>
      </c>
      <c r="C40" s="242" t="s">
        <v>450</v>
      </c>
    </row>
    <row r="41">
      <c r="A41" s="414">
        <v>46109.88181712963</v>
      </c>
      <c r="B41" s="415">
        <v>46101.0</v>
      </c>
      <c r="C41" s="242" t="s">
        <v>439</v>
      </c>
    </row>
    <row r="42">
      <c r="A42" s="414">
        <v>46109.882199074076</v>
      </c>
      <c r="B42" s="415">
        <v>46099.0</v>
      </c>
      <c r="C42" s="242" t="s">
        <v>439</v>
      </c>
    </row>
    <row r="43">
      <c r="A43" s="414">
        <v>46109.88239583333</v>
      </c>
      <c r="B43" s="415">
        <v>46104.0</v>
      </c>
      <c r="C43" s="242" t="s">
        <v>439</v>
      </c>
    </row>
    <row r="44">
      <c r="A44" s="414">
        <v>46109.88277777778</v>
      </c>
      <c r="B44" s="415">
        <v>46101.0</v>
      </c>
      <c r="C44" s="242" t="s">
        <v>439</v>
      </c>
    </row>
    <row r="45">
      <c r="A45" s="414">
        <v>46109.88292824074</v>
      </c>
      <c r="B45" s="415">
        <v>46105.0</v>
      </c>
      <c r="C45" s="242" t="s">
        <v>451</v>
      </c>
    </row>
    <row r="46">
      <c r="A46" s="414">
        <v>46109.883101851854</v>
      </c>
      <c r="B46" s="415">
        <v>46106.0</v>
      </c>
      <c r="C46" s="242" t="s">
        <v>442</v>
      </c>
    </row>
    <row r="47">
      <c r="A47" s="414">
        <v>46109.883252314816</v>
      </c>
      <c r="B47" s="415">
        <v>46107.0</v>
      </c>
      <c r="C47" s="242" t="s">
        <v>440</v>
      </c>
    </row>
    <row r="48">
      <c r="A48" s="414">
        <v>46109.883310185185</v>
      </c>
      <c r="B48" s="415">
        <v>46104.0</v>
      </c>
      <c r="C48" s="242" t="s">
        <v>439</v>
      </c>
    </row>
    <row r="49">
      <c r="A49" s="414">
        <v>46109.8833912037</v>
      </c>
      <c r="B49" s="415">
        <v>46108.0</v>
      </c>
      <c r="C49" s="242" t="s">
        <v>441</v>
      </c>
    </row>
    <row r="50">
      <c r="A50" s="414">
        <v>46109.8834375</v>
      </c>
      <c r="B50" s="415">
        <v>46108.0</v>
      </c>
      <c r="C50" s="242" t="s">
        <v>441</v>
      </c>
    </row>
    <row r="51">
      <c r="A51" s="414">
        <v>46109.88517361111</v>
      </c>
      <c r="B51" s="415">
        <v>46080.0</v>
      </c>
      <c r="C51" s="242" t="s">
        <v>439</v>
      </c>
    </row>
    <row r="52">
      <c r="A52" s="414">
        <v>46109.885717592595</v>
      </c>
      <c r="B52" s="416">
        <v>46083.0</v>
      </c>
      <c r="C52" s="242" t="s">
        <v>439</v>
      </c>
    </row>
    <row r="53">
      <c r="A53" s="414">
        <v>46109.88623842593</v>
      </c>
      <c r="B53" s="416">
        <v>46084.0</v>
      </c>
      <c r="C53" s="242" t="s">
        <v>439</v>
      </c>
    </row>
    <row r="54">
      <c r="A54" s="414">
        <v>46109.88675925926</v>
      </c>
      <c r="B54" s="416">
        <v>46085.0</v>
      </c>
      <c r="C54" s="242" t="s">
        <v>439</v>
      </c>
    </row>
    <row r="55">
      <c r="A55" s="414">
        <v>46109.88728009259</v>
      </c>
      <c r="B55" s="416">
        <v>46086.0</v>
      </c>
      <c r="C55" s="242" t="s">
        <v>439</v>
      </c>
    </row>
    <row r="56">
      <c r="A56" s="414">
        <v>46109.8878125</v>
      </c>
      <c r="B56" s="416">
        <v>46087.0</v>
      </c>
      <c r="C56" s="242" t="s">
        <v>439</v>
      </c>
    </row>
    <row r="57">
      <c r="A57" s="414">
        <v>46109.88832175926</v>
      </c>
      <c r="B57" s="416">
        <v>46090.0</v>
      </c>
      <c r="C57" s="242" t="s">
        <v>439</v>
      </c>
    </row>
    <row r="58">
      <c r="A58" s="414">
        <v>46109.888877314814</v>
      </c>
      <c r="B58" s="415">
        <v>46091.0</v>
      </c>
      <c r="C58" s="242" t="s">
        <v>439</v>
      </c>
    </row>
    <row r="59">
      <c r="A59" s="414">
        <v>46109.889398148145</v>
      </c>
      <c r="B59" s="415">
        <v>46092.0</v>
      </c>
      <c r="C59" s="242" t="s">
        <v>439</v>
      </c>
    </row>
    <row r="60">
      <c r="A60" s="414">
        <v>46109.88990740741</v>
      </c>
      <c r="B60" s="415">
        <v>46093.0</v>
      </c>
      <c r="C60" s="242" t="s">
        <v>439</v>
      </c>
    </row>
    <row r="61">
      <c r="A61" s="414">
        <v>46109.89048611111</v>
      </c>
      <c r="B61" s="415">
        <v>46094.0</v>
      </c>
      <c r="C61" s="242" t="s">
        <v>439</v>
      </c>
    </row>
    <row r="62">
      <c r="A62" s="414">
        <v>46109.89098379629</v>
      </c>
      <c r="B62" s="415">
        <v>46097.0</v>
      </c>
      <c r="C62" s="242" t="s">
        <v>439</v>
      </c>
    </row>
    <row r="63">
      <c r="A63" s="414">
        <v>46109.891550925924</v>
      </c>
      <c r="B63" s="415">
        <v>46098.0</v>
      </c>
      <c r="C63" s="242" t="s">
        <v>439</v>
      </c>
    </row>
    <row r="64">
      <c r="A64" s="414">
        <v>46109.892060185186</v>
      </c>
      <c r="B64" s="415">
        <v>46099.0</v>
      </c>
      <c r="C64" s="242" t="s">
        <v>439</v>
      </c>
    </row>
    <row r="65">
      <c r="A65" s="414">
        <v>46109.89244212963</v>
      </c>
      <c r="B65" s="415">
        <v>46100.0</v>
      </c>
      <c r="C65" s="242" t="s">
        <v>446</v>
      </c>
    </row>
    <row r="66">
      <c r="A66" s="414">
        <v>46109.892962962964</v>
      </c>
      <c r="B66" s="415">
        <v>46101.0</v>
      </c>
      <c r="C66" s="242" t="s">
        <v>439</v>
      </c>
    </row>
    <row r="67">
      <c r="A67" s="414">
        <v>46109.89346064815</v>
      </c>
      <c r="B67" s="415">
        <v>46104.0</v>
      </c>
      <c r="C67" s="242" t="s">
        <v>439</v>
      </c>
    </row>
    <row r="68">
      <c r="A68" s="414">
        <v>46109.893587962964</v>
      </c>
      <c r="B68" s="415">
        <v>46105.0</v>
      </c>
      <c r="C68" s="242" t="s">
        <v>451</v>
      </c>
    </row>
    <row r="69">
      <c r="A69" s="414">
        <v>46109.89372685185</v>
      </c>
      <c r="B69" s="415">
        <v>46106.0</v>
      </c>
      <c r="C69" s="242" t="s">
        <v>442</v>
      </c>
    </row>
    <row r="70">
      <c r="A70" s="414">
        <v>46109.89386574074</v>
      </c>
      <c r="B70" s="415">
        <v>46107.0</v>
      </c>
      <c r="C70" s="242" t="s">
        <v>440</v>
      </c>
    </row>
    <row r="71">
      <c r="A71" s="414">
        <v>46109.89396990741</v>
      </c>
      <c r="B71" s="415">
        <v>46108.0</v>
      </c>
      <c r="C71" s="242" t="s">
        <v>441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2" t="s">
        <v>452</v>
      </c>
      <c r="B1" s="242" t="s">
        <v>453</v>
      </c>
    </row>
    <row r="2">
      <c r="A2" s="242" t="s">
        <v>454</v>
      </c>
      <c r="B2" s="242">
        <v>24821.0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70.38"/>
  </cols>
  <sheetData>
    <row r="1">
      <c r="A1" s="242" t="s">
        <v>455</v>
      </c>
      <c r="B1" s="242" t="s">
        <v>456</v>
      </c>
      <c r="C1" s="242" t="s">
        <v>202</v>
      </c>
      <c r="D1" s="242" t="s">
        <v>457</v>
      </c>
      <c r="E1" s="242" t="s">
        <v>458</v>
      </c>
      <c r="F1" s="242" t="s">
        <v>459</v>
      </c>
      <c r="G1" s="242" t="s">
        <v>460</v>
      </c>
      <c r="H1" s="242" t="s">
        <v>461</v>
      </c>
      <c r="I1" s="242" t="s">
        <v>462</v>
      </c>
      <c r="J1" s="242" t="s">
        <v>463</v>
      </c>
      <c r="K1" s="242" t="s">
        <v>464</v>
      </c>
      <c r="L1" s="242" t="s">
        <v>465</v>
      </c>
      <c r="M1" s="242" t="s">
        <v>466</v>
      </c>
      <c r="N1" s="242" t="s">
        <v>467</v>
      </c>
      <c r="O1" s="242" t="s">
        <v>468</v>
      </c>
      <c r="P1" s="242" t="s">
        <v>469</v>
      </c>
      <c r="Q1" s="242" t="s">
        <v>470</v>
      </c>
    </row>
    <row r="2">
      <c r="A2" s="242" t="s">
        <v>471</v>
      </c>
      <c r="B2" s="242" t="s">
        <v>472</v>
      </c>
      <c r="C2" s="242" t="s">
        <v>244</v>
      </c>
      <c r="D2" s="242" t="s">
        <v>473</v>
      </c>
      <c r="E2" s="242" t="s">
        <v>474</v>
      </c>
      <c r="F2" s="417">
        <v>46111.0</v>
      </c>
      <c r="G2" s="242">
        <v>11.0216</v>
      </c>
      <c r="H2" s="242">
        <v>10.03</v>
      </c>
      <c r="I2" s="242">
        <v>9.31</v>
      </c>
      <c r="J2" s="242">
        <v>9.93</v>
      </c>
      <c r="K2" s="242">
        <v>9.51</v>
      </c>
      <c r="L2" s="242">
        <v>9.31</v>
      </c>
      <c r="M2" s="242">
        <v>9.43</v>
      </c>
      <c r="N2" s="242">
        <v>9.93</v>
      </c>
      <c r="O2" s="242">
        <v>10.04</v>
      </c>
      <c r="P2" s="242">
        <v>10.56</v>
      </c>
      <c r="Q2" s="242">
        <v>15.04</v>
      </c>
    </row>
    <row r="3">
      <c r="A3" s="242" t="s">
        <v>471</v>
      </c>
      <c r="B3" s="242" t="s">
        <v>472</v>
      </c>
      <c r="C3" s="242" t="s">
        <v>266</v>
      </c>
      <c r="D3" s="242" t="s">
        <v>473</v>
      </c>
      <c r="E3" s="242" t="s">
        <v>474</v>
      </c>
      <c r="F3" s="417">
        <v>46111.0</v>
      </c>
      <c r="G3" s="242">
        <v>10.7282</v>
      </c>
      <c r="H3" s="242">
        <v>9.53</v>
      </c>
      <c r="I3" s="242">
        <v>8.46</v>
      </c>
      <c r="J3" s="242">
        <v>8.83</v>
      </c>
      <c r="K3" s="242">
        <v>8.6</v>
      </c>
      <c r="L3" s="242">
        <v>8.49</v>
      </c>
      <c r="M3" s="242">
        <v>8.47</v>
      </c>
      <c r="N3" s="242">
        <v>9.27</v>
      </c>
      <c r="O3" s="242">
        <v>9.46</v>
      </c>
      <c r="P3" s="242">
        <v>10.11</v>
      </c>
      <c r="Q3" s="242">
        <v>14.61</v>
      </c>
    </row>
    <row r="4">
      <c r="A4" s="242" t="s">
        <v>471</v>
      </c>
      <c r="B4" s="242" t="s">
        <v>472</v>
      </c>
      <c r="C4" s="242" t="s">
        <v>289</v>
      </c>
      <c r="D4" s="242" t="s">
        <v>473</v>
      </c>
      <c r="E4" s="242" t="s">
        <v>474</v>
      </c>
      <c r="F4" s="417">
        <v>46108.0</v>
      </c>
      <c r="G4" s="242">
        <v>55.8398</v>
      </c>
      <c r="H4" s="242">
        <v>10.01</v>
      </c>
      <c r="I4" s="242">
        <v>8.63</v>
      </c>
      <c r="J4" s="242">
        <v>6.79</v>
      </c>
      <c r="K4" s="242">
        <v>8.77</v>
      </c>
      <c r="L4" s="242">
        <v>8.79</v>
      </c>
      <c r="M4" s="242">
        <v>9.41</v>
      </c>
      <c r="N4" s="242">
        <v>10.06</v>
      </c>
      <c r="O4" s="242">
        <v>10.01</v>
      </c>
      <c r="P4" s="242">
        <v>10.36</v>
      </c>
      <c r="Q4" s="242">
        <v>14.86</v>
      </c>
    </row>
    <row r="5">
      <c r="A5" s="242" t="s">
        <v>471</v>
      </c>
      <c r="B5" s="242" t="s">
        <v>472</v>
      </c>
      <c r="C5" s="242" t="s">
        <v>281</v>
      </c>
      <c r="D5" s="242" t="s">
        <v>475</v>
      </c>
      <c r="E5" s="242" t="s">
        <v>474</v>
      </c>
      <c r="F5" s="417">
        <v>46108.0</v>
      </c>
      <c r="G5" s="242">
        <v>109.1993</v>
      </c>
      <c r="H5" s="242">
        <v>10.15</v>
      </c>
      <c r="I5" s="242">
        <v>9.15</v>
      </c>
      <c r="J5" s="242">
        <v>7.92</v>
      </c>
      <c r="K5" s="242">
        <v>8.67</v>
      </c>
      <c r="L5" s="242">
        <v>9.16</v>
      </c>
      <c r="M5" s="242">
        <v>9.39</v>
      </c>
      <c r="N5" s="242">
        <v>9.95</v>
      </c>
      <c r="O5" s="242">
        <v>10.16</v>
      </c>
      <c r="P5" s="242">
        <v>10.55</v>
      </c>
      <c r="Q5" s="242">
        <v>14.83</v>
      </c>
    </row>
    <row r="6">
      <c r="A6" s="242" t="s">
        <v>471</v>
      </c>
      <c r="B6" s="242" t="s">
        <v>472</v>
      </c>
      <c r="C6" s="242" t="s">
        <v>280</v>
      </c>
      <c r="D6" s="242" t="s">
        <v>475</v>
      </c>
      <c r="E6" s="242" t="s">
        <v>474</v>
      </c>
      <c r="F6" s="417">
        <v>46108.0</v>
      </c>
      <c r="G6" s="242">
        <v>107.9552</v>
      </c>
      <c r="H6" s="242">
        <v>10.11</v>
      </c>
      <c r="I6" s="242">
        <v>9.12</v>
      </c>
      <c r="J6" s="242">
        <v>7.92</v>
      </c>
      <c r="K6" s="242">
        <v>8.62</v>
      </c>
      <c r="L6" s="242">
        <v>9.17</v>
      </c>
      <c r="M6" s="242">
        <v>9.39</v>
      </c>
      <c r="N6" s="242">
        <v>9.94</v>
      </c>
      <c r="O6" s="242">
        <v>10.11</v>
      </c>
      <c r="P6" s="242">
        <v>10.46</v>
      </c>
      <c r="Q6" s="242">
        <v>14.74</v>
      </c>
    </row>
    <row r="7">
      <c r="A7" s="242" t="s">
        <v>471</v>
      </c>
      <c r="B7" s="242" t="s">
        <v>472</v>
      </c>
      <c r="C7" s="242" t="s">
        <v>247</v>
      </c>
      <c r="D7" s="242" t="s">
        <v>473</v>
      </c>
      <c r="E7" s="242" t="s">
        <v>474</v>
      </c>
      <c r="F7" s="417">
        <v>46109.0</v>
      </c>
      <c r="G7" s="242">
        <v>110.1617</v>
      </c>
      <c r="H7" s="242">
        <v>9.95</v>
      </c>
      <c r="I7" s="242">
        <v>9.74</v>
      </c>
      <c r="J7" s="242">
        <v>9.89</v>
      </c>
      <c r="K7" s="242">
        <v>9.91</v>
      </c>
      <c r="L7" s="242">
        <v>9.76</v>
      </c>
      <c r="M7" s="242">
        <v>9.95</v>
      </c>
      <c r="N7" s="242">
        <v>10.02</v>
      </c>
      <c r="O7" s="242">
        <v>9.95</v>
      </c>
      <c r="P7" s="242">
        <v>10.58</v>
      </c>
      <c r="Q7" s="242">
        <v>15.68</v>
      </c>
    </row>
    <row r="8">
      <c r="A8" s="242" t="s">
        <v>471</v>
      </c>
      <c r="B8" s="242" t="s">
        <v>472</v>
      </c>
      <c r="C8" s="242" t="s">
        <v>277</v>
      </c>
      <c r="D8" s="242" t="s">
        <v>473</v>
      </c>
      <c r="E8" s="242" t="s">
        <v>476</v>
      </c>
      <c r="F8" s="417">
        <v>46109.0</v>
      </c>
      <c r="G8" s="242">
        <v>539.7433</v>
      </c>
      <c r="H8" s="242">
        <v>9.41</v>
      </c>
      <c r="I8" s="242">
        <v>8.65</v>
      </c>
      <c r="J8" s="242">
        <v>8.32</v>
      </c>
      <c r="K8" s="242">
        <v>8.88</v>
      </c>
      <c r="L8" s="242">
        <v>8.66</v>
      </c>
      <c r="M8" s="242">
        <v>8.66</v>
      </c>
      <c r="N8" s="242">
        <v>9.12</v>
      </c>
      <c r="O8" s="242">
        <v>9.41</v>
      </c>
      <c r="P8" s="242">
        <v>9.87</v>
      </c>
      <c r="Q8" s="242">
        <v>14.31</v>
      </c>
    </row>
    <row r="9">
      <c r="A9" s="242" t="s">
        <v>471</v>
      </c>
      <c r="B9" s="242" t="s">
        <v>472</v>
      </c>
      <c r="C9" s="242" t="s">
        <v>260</v>
      </c>
      <c r="D9" s="242" t="s">
        <v>473</v>
      </c>
      <c r="E9" s="242" t="s">
        <v>474</v>
      </c>
      <c r="F9" s="417">
        <v>46108.0</v>
      </c>
      <c r="G9" s="242">
        <v>106.3205</v>
      </c>
      <c r="H9" s="242">
        <v>9.97</v>
      </c>
      <c r="I9" s="242">
        <v>9.32</v>
      </c>
      <c r="J9" s="242">
        <v>9.2</v>
      </c>
      <c r="K9" s="242">
        <v>9.51</v>
      </c>
      <c r="L9" s="242">
        <v>9.3</v>
      </c>
      <c r="M9" s="242">
        <v>9.45</v>
      </c>
      <c r="N9" s="242">
        <v>9.85</v>
      </c>
      <c r="O9" s="242">
        <v>9.97</v>
      </c>
      <c r="P9" s="242">
        <v>10.41</v>
      </c>
      <c r="Q9" s="242">
        <v>14.92</v>
      </c>
    </row>
    <row r="10">
      <c r="A10" s="242" t="s">
        <v>471</v>
      </c>
      <c r="B10" s="242" t="s">
        <v>472</v>
      </c>
      <c r="C10" s="242" t="s">
        <v>251</v>
      </c>
      <c r="D10" s="242" t="s">
        <v>477</v>
      </c>
      <c r="E10" s="242" t="s">
        <v>474</v>
      </c>
      <c r="F10" s="417">
        <v>46109.0</v>
      </c>
      <c r="G10" s="242">
        <v>111.151</v>
      </c>
      <c r="H10" s="242">
        <v>10.15</v>
      </c>
      <c r="I10" s="242">
        <v>9.88</v>
      </c>
      <c r="J10" s="242">
        <v>9.75</v>
      </c>
      <c r="K10" s="242">
        <v>9.77</v>
      </c>
      <c r="L10" s="242">
        <v>9.89</v>
      </c>
      <c r="M10" s="242">
        <v>10.93</v>
      </c>
      <c r="N10" s="242">
        <v>10.07</v>
      </c>
      <c r="O10" s="242">
        <v>10.15</v>
      </c>
      <c r="P10" s="242">
        <v>10.64</v>
      </c>
      <c r="Q10" s="242">
        <v>14.67</v>
      </c>
    </row>
    <row r="11">
      <c r="A11" s="242" t="s">
        <v>471</v>
      </c>
      <c r="B11" s="242" t="s">
        <v>472</v>
      </c>
      <c r="C11" s="242" t="s">
        <v>279</v>
      </c>
      <c r="D11" s="242" t="s">
        <v>473</v>
      </c>
      <c r="E11" s="242" t="s">
        <v>474</v>
      </c>
      <c r="F11" s="417">
        <v>46109.0</v>
      </c>
      <c r="G11" s="242">
        <v>110.6747</v>
      </c>
      <c r="H11" s="242">
        <v>9.1</v>
      </c>
      <c r="I11" s="242">
        <v>8.9</v>
      </c>
      <c r="J11" s="242">
        <v>8.1</v>
      </c>
      <c r="K11" s="242">
        <v>9.12</v>
      </c>
      <c r="L11" s="242">
        <v>8.89</v>
      </c>
      <c r="M11" s="242">
        <v>8.69</v>
      </c>
      <c r="N11" s="242">
        <v>8.77</v>
      </c>
      <c r="O11" s="242">
        <v>9.1</v>
      </c>
      <c r="P11" s="242">
        <v>9.53</v>
      </c>
      <c r="Q11" s="242">
        <v>14.0</v>
      </c>
    </row>
    <row r="12">
      <c r="A12" s="242" t="s">
        <v>471</v>
      </c>
      <c r="B12" s="242" t="s">
        <v>472</v>
      </c>
      <c r="C12" s="242" t="s">
        <v>257</v>
      </c>
      <c r="D12" s="242" t="s">
        <v>473</v>
      </c>
      <c r="E12" s="242" t="s">
        <v>474</v>
      </c>
      <c r="F12" s="417">
        <v>46109.0</v>
      </c>
      <c r="G12" s="242">
        <v>539.7838</v>
      </c>
      <c r="H12" s="242">
        <v>10.31</v>
      </c>
      <c r="I12" s="242">
        <v>9.13</v>
      </c>
      <c r="J12" s="242">
        <v>9.31</v>
      </c>
      <c r="K12" s="242">
        <v>9.32</v>
      </c>
      <c r="L12" s="242">
        <v>9.21</v>
      </c>
      <c r="M12" s="242">
        <v>9.5</v>
      </c>
      <c r="N12" s="242">
        <v>10.17</v>
      </c>
      <c r="O12" s="242">
        <v>10.31</v>
      </c>
      <c r="P12" s="242">
        <v>10.64</v>
      </c>
      <c r="Q12" s="242">
        <v>15.22</v>
      </c>
    </row>
    <row r="13">
      <c r="A13" s="242" t="s">
        <v>471</v>
      </c>
      <c r="B13" s="242" t="s">
        <v>472</v>
      </c>
      <c r="C13" s="242" t="s">
        <v>271</v>
      </c>
      <c r="D13" s="242" t="s">
        <v>473</v>
      </c>
      <c r="E13" s="242" t="s">
        <v>474</v>
      </c>
      <c r="F13" s="417">
        <v>46108.0</v>
      </c>
      <c r="G13" s="242">
        <v>552.0045</v>
      </c>
      <c r="H13" s="242">
        <v>10.4</v>
      </c>
      <c r="I13" s="242">
        <v>9.18</v>
      </c>
      <c r="J13" s="242">
        <v>8.69</v>
      </c>
      <c r="K13" s="242">
        <v>9.32</v>
      </c>
      <c r="L13" s="242">
        <v>9.26</v>
      </c>
      <c r="M13" s="242">
        <v>9.53</v>
      </c>
      <c r="N13" s="242">
        <v>10.18</v>
      </c>
      <c r="O13" s="242">
        <v>10.4</v>
      </c>
      <c r="P13" s="242">
        <v>10.73</v>
      </c>
      <c r="Q13" s="242">
        <v>15.28</v>
      </c>
    </row>
    <row r="14">
      <c r="A14" s="242" t="s">
        <v>471</v>
      </c>
      <c r="B14" s="242" t="s">
        <v>472</v>
      </c>
      <c r="C14" s="242" t="s">
        <v>254</v>
      </c>
      <c r="D14" s="242" t="s">
        <v>473</v>
      </c>
      <c r="E14" s="242" t="s">
        <v>474</v>
      </c>
      <c r="F14" s="417">
        <v>46111.0</v>
      </c>
      <c r="G14" s="242">
        <v>110.8919</v>
      </c>
      <c r="H14" s="242">
        <v>9.76</v>
      </c>
      <c r="I14" s="242">
        <v>8.42</v>
      </c>
      <c r="J14" s="242">
        <v>9.49</v>
      </c>
      <c r="K14" s="242">
        <v>8.61</v>
      </c>
      <c r="L14" s="242">
        <v>8.44</v>
      </c>
      <c r="M14" s="242">
        <v>8.94</v>
      </c>
      <c r="N14" s="242">
        <v>9.6</v>
      </c>
      <c r="O14" s="242">
        <v>9.74</v>
      </c>
      <c r="P14" s="242">
        <v>10.43</v>
      </c>
      <c r="Q14" s="242">
        <v>14.77</v>
      </c>
    </row>
    <row r="15">
      <c r="A15" s="242" t="s">
        <v>471</v>
      </c>
      <c r="B15" s="242" t="s">
        <v>472</v>
      </c>
      <c r="C15" s="242" t="s">
        <v>258</v>
      </c>
      <c r="D15" s="242" t="s">
        <v>473</v>
      </c>
      <c r="E15" s="242" t="s">
        <v>474</v>
      </c>
      <c r="F15" s="417">
        <v>46111.0</v>
      </c>
      <c r="G15" s="242">
        <v>110.8162</v>
      </c>
      <c r="H15" s="242">
        <v>9.34</v>
      </c>
      <c r="I15" s="242">
        <v>7.77</v>
      </c>
      <c r="J15" s="242">
        <v>9.23</v>
      </c>
      <c r="K15" s="242">
        <v>8.08</v>
      </c>
      <c r="L15" s="242">
        <v>7.81</v>
      </c>
      <c r="M15" s="242">
        <v>8.37</v>
      </c>
      <c r="N15" s="242">
        <v>9.03</v>
      </c>
      <c r="O15" s="242">
        <v>9.33</v>
      </c>
      <c r="P15" s="242">
        <v>9.91</v>
      </c>
      <c r="Q15" s="242">
        <v>14.17</v>
      </c>
    </row>
    <row r="16">
      <c r="A16" s="242" t="s">
        <v>471</v>
      </c>
      <c r="B16" s="242" t="s">
        <v>472</v>
      </c>
      <c r="C16" s="242" t="s">
        <v>235</v>
      </c>
      <c r="D16" s="242" t="s">
        <v>473</v>
      </c>
      <c r="E16" s="242" t="s">
        <v>474</v>
      </c>
      <c r="F16" s="417">
        <v>46111.0</v>
      </c>
      <c r="G16" s="242">
        <v>113.0702</v>
      </c>
      <c r="H16" s="242">
        <v>10.01</v>
      </c>
      <c r="I16" s="242">
        <v>9.96</v>
      </c>
      <c r="J16" s="242">
        <v>10.22</v>
      </c>
      <c r="K16" s="242">
        <v>8.87</v>
      </c>
      <c r="L16" s="242">
        <v>9.9</v>
      </c>
      <c r="M16" s="242">
        <v>8.78</v>
      </c>
      <c r="N16" s="242">
        <v>9.69</v>
      </c>
      <c r="O16" s="242">
        <v>10.0</v>
      </c>
      <c r="P16" s="242">
        <v>10.37</v>
      </c>
      <c r="Q16" s="242">
        <v>14.92</v>
      </c>
    </row>
    <row r="17">
      <c r="A17" s="242" t="s">
        <v>471</v>
      </c>
      <c r="B17" s="242" t="s">
        <v>472</v>
      </c>
      <c r="C17" s="242" t="s">
        <v>242</v>
      </c>
      <c r="D17" s="242" t="s">
        <v>473</v>
      </c>
      <c r="E17" s="242" t="s">
        <v>474</v>
      </c>
      <c r="F17" s="417">
        <v>46111.0</v>
      </c>
      <c r="G17" s="242">
        <v>119.4387</v>
      </c>
      <c r="H17" s="242">
        <v>10.55</v>
      </c>
      <c r="I17" s="242">
        <v>10.04</v>
      </c>
      <c r="J17" s="242">
        <v>10.07</v>
      </c>
      <c r="K17" s="242">
        <v>10.04</v>
      </c>
      <c r="L17" s="242">
        <v>10.04</v>
      </c>
      <c r="M17" s="242">
        <v>10.09</v>
      </c>
      <c r="N17" s="242">
        <v>10.02</v>
      </c>
      <c r="O17" s="242">
        <v>10.54</v>
      </c>
      <c r="P17" s="242">
        <v>10.76</v>
      </c>
      <c r="Q17" s="242">
        <v>15.27</v>
      </c>
    </row>
    <row r="18">
      <c r="A18" s="242" t="s">
        <v>471</v>
      </c>
      <c r="B18" s="242" t="s">
        <v>472</v>
      </c>
      <c r="C18" s="242" t="s">
        <v>243</v>
      </c>
      <c r="D18" s="242" t="s">
        <v>473</v>
      </c>
      <c r="E18" s="242" t="s">
        <v>474</v>
      </c>
      <c r="F18" s="417">
        <v>46111.0</v>
      </c>
      <c r="G18" s="242">
        <v>110.4361</v>
      </c>
      <c r="H18" s="242">
        <v>9.91</v>
      </c>
      <c r="I18" s="242">
        <v>9.01</v>
      </c>
      <c r="J18" s="242">
        <v>9.96</v>
      </c>
      <c r="K18" s="242">
        <v>9.27</v>
      </c>
      <c r="L18" s="242">
        <v>9.01</v>
      </c>
      <c r="M18" s="242">
        <v>9.24</v>
      </c>
      <c r="N18" s="242">
        <v>9.78</v>
      </c>
      <c r="O18" s="242">
        <v>9.91</v>
      </c>
      <c r="P18" s="242">
        <v>10.43</v>
      </c>
      <c r="Q18" s="242">
        <v>15.07</v>
      </c>
    </row>
    <row r="19">
      <c r="A19" s="242" t="s">
        <v>471</v>
      </c>
      <c r="B19" s="242" t="s">
        <v>472</v>
      </c>
      <c r="C19" s="242" t="s">
        <v>262</v>
      </c>
      <c r="D19" s="242" t="s">
        <v>473</v>
      </c>
      <c r="E19" s="242" t="s">
        <v>474</v>
      </c>
      <c r="F19" s="417">
        <v>46111.0</v>
      </c>
      <c r="G19" s="242">
        <v>109.8664</v>
      </c>
      <c r="H19" s="242">
        <v>9.88</v>
      </c>
      <c r="I19" s="242">
        <v>8.89</v>
      </c>
      <c r="J19" s="242">
        <v>9.09</v>
      </c>
      <c r="K19" s="242">
        <v>8.91</v>
      </c>
      <c r="L19" s="242">
        <v>8.9</v>
      </c>
      <c r="M19" s="242">
        <v>9.27</v>
      </c>
      <c r="N19" s="242">
        <v>9.73</v>
      </c>
      <c r="O19" s="242">
        <v>9.87</v>
      </c>
      <c r="P19" s="242">
        <v>10.28</v>
      </c>
      <c r="Q19" s="242">
        <v>14.93</v>
      </c>
    </row>
    <row r="20">
      <c r="A20" s="242" t="s">
        <v>471</v>
      </c>
      <c r="B20" s="242" t="s">
        <v>472</v>
      </c>
      <c r="C20" s="242" t="s">
        <v>274</v>
      </c>
      <c r="E20" s="242" t="s">
        <v>474</v>
      </c>
      <c r="F20" s="417">
        <v>46108.0</v>
      </c>
      <c r="G20" s="242">
        <v>10.8023</v>
      </c>
      <c r="H20" s="242">
        <v>9.62</v>
      </c>
      <c r="I20" s="242">
        <v>8.61</v>
      </c>
      <c r="J20" s="242">
        <v>8.43</v>
      </c>
      <c r="K20" s="242">
        <v>8.7</v>
      </c>
      <c r="L20" s="242">
        <v>8.66</v>
      </c>
      <c r="M20" s="242">
        <v>8.98</v>
      </c>
      <c r="N20" s="242">
        <v>9.45</v>
      </c>
      <c r="O20" s="242">
        <v>9.62</v>
      </c>
      <c r="P20" s="242">
        <v>10.07</v>
      </c>
      <c r="Q20" s="242">
        <v>14.7</v>
      </c>
    </row>
    <row r="21">
      <c r="A21" s="242" t="s">
        <v>471</v>
      </c>
      <c r="B21" s="242" t="s">
        <v>472</v>
      </c>
      <c r="C21" s="242" t="s">
        <v>275</v>
      </c>
      <c r="E21" s="242" t="s">
        <v>474</v>
      </c>
      <c r="F21" s="417">
        <v>46108.0</v>
      </c>
      <c r="G21" s="242">
        <v>10.0</v>
      </c>
      <c r="H21" s="242">
        <v>9.78</v>
      </c>
      <c r="I21" s="242">
        <v>8.68</v>
      </c>
      <c r="J21" s="242">
        <v>8.4</v>
      </c>
      <c r="K21" s="242">
        <v>8.8</v>
      </c>
      <c r="L21" s="242">
        <v>8.72</v>
      </c>
      <c r="M21" s="242">
        <v>9.09</v>
      </c>
      <c r="N21" s="242">
        <v>9.63</v>
      </c>
      <c r="O21" s="242">
        <v>9.78</v>
      </c>
      <c r="P21" s="242">
        <v>10.24</v>
      </c>
      <c r="Q21" s="242">
        <v>14.93</v>
      </c>
    </row>
    <row r="22">
      <c r="A22" s="242" t="s">
        <v>471</v>
      </c>
      <c r="B22" s="242" t="s">
        <v>472</v>
      </c>
      <c r="C22" s="242" t="s">
        <v>285</v>
      </c>
      <c r="D22" s="242" t="s">
        <v>475</v>
      </c>
      <c r="E22" s="242" t="s">
        <v>474</v>
      </c>
      <c r="F22" s="417">
        <v>46108.0</v>
      </c>
      <c r="G22" s="242">
        <v>11.0338</v>
      </c>
      <c r="H22" s="242">
        <v>9.5</v>
      </c>
      <c r="I22" s="242">
        <v>7.99</v>
      </c>
      <c r="J22" s="242">
        <v>7.59</v>
      </c>
      <c r="K22" s="242">
        <v>8.37</v>
      </c>
      <c r="L22" s="242">
        <v>8.05</v>
      </c>
      <c r="M22" s="242">
        <v>8.48</v>
      </c>
      <c r="N22" s="242">
        <v>9.24</v>
      </c>
      <c r="O22" s="242">
        <v>9.5</v>
      </c>
      <c r="P22" s="242">
        <v>10.1</v>
      </c>
      <c r="Q22" s="242">
        <v>14.81</v>
      </c>
    </row>
    <row r="23">
      <c r="A23" s="242" t="s">
        <v>471</v>
      </c>
      <c r="B23" s="242" t="s">
        <v>472</v>
      </c>
      <c r="C23" s="242" t="s">
        <v>273</v>
      </c>
      <c r="D23" s="242" t="s">
        <v>477</v>
      </c>
      <c r="E23" s="242" t="s">
        <v>474</v>
      </c>
      <c r="F23" s="417">
        <v>46108.0</v>
      </c>
      <c r="G23" s="242">
        <v>10.7691</v>
      </c>
      <c r="H23" s="242">
        <v>9.92</v>
      </c>
      <c r="I23" s="242">
        <v>8.86</v>
      </c>
      <c r="J23" s="242">
        <v>8.47</v>
      </c>
      <c r="K23" s="242">
        <v>8.96</v>
      </c>
      <c r="L23" s="242">
        <v>8.9</v>
      </c>
      <c r="M23" s="242">
        <v>9.24</v>
      </c>
      <c r="N23" s="242">
        <v>9.77</v>
      </c>
      <c r="O23" s="242">
        <v>9.92</v>
      </c>
      <c r="P23" s="242">
        <v>10.37</v>
      </c>
      <c r="Q23" s="242">
        <v>14.97</v>
      </c>
    </row>
    <row r="24">
      <c r="A24" s="242" t="s">
        <v>471</v>
      </c>
      <c r="B24" s="242" t="s">
        <v>472</v>
      </c>
      <c r="C24" s="242" t="s">
        <v>241</v>
      </c>
      <c r="D24" s="242" t="s">
        <v>475</v>
      </c>
      <c r="E24" s="242" t="s">
        <v>474</v>
      </c>
      <c r="F24" s="417">
        <v>46111.0</v>
      </c>
      <c r="G24" s="242">
        <v>10.5113</v>
      </c>
      <c r="H24" s="242">
        <v>10.29</v>
      </c>
      <c r="I24" s="242">
        <v>9.24</v>
      </c>
      <c r="J24" s="242">
        <v>10.07</v>
      </c>
      <c r="K24" s="242">
        <v>9.41</v>
      </c>
      <c r="L24" s="242">
        <v>9.25</v>
      </c>
      <c r="M24" s="242">
        <v>9.51</v>
      </c>
      <c r="N24" s="242">
        <v>10.16</v>
      </c>
      <c r="O24" s="242">
        <v>10.28</v>
      </c>
      <c r="P24" s="242">
        <v>10.72</v>
      </c>
      <c r="Q24" s="242">
        <v>15.38</v>
      </c>
    </row>
    <row r="25">
      <c r="A25" s="242" t="s">
        <v>471</v>
      </c>
      <c r="B25" s="242" t="s">
        <v>472</v>
      </c>
      <c r="C25" s="242" t="s">
        <v>312</v>
      </c>
      <c r="D25" s="242" t="s">
        <v>473</v>
      </c>
      <c r="E25" s="242" t="s">
        <v>474</v>
      </c>
      <c r="F25" s="417">
        <v>46108.0</v>
      </c>
      <c r="G25" s="242">
        <v>50.4678</v>
      </c>
      <c r="H25" s="242">
        <v>9.8</v>
      </c>
      <c r="I25" s="242">
        <v>8.08</v>
      </c>
      <c r="J25" s="242" t="s">
        <v>474</v>
      </c>
      <c r="K25" s="242">
        <v>7.52</v>
      </c>
      <c r="L25" s="242">
        <v>8.26</v>
      </c>
      <c r="M25" s="242">
        <v>9.29</v>
      </c>
      <c r="N25" s="242">
        <v>9.69</v>
      </c>
      <c r="O25" s="242">
        <v>9.78</v>
      </c>
      <c r="P25" s="242">
        <v>9.98</v>
      </c>
      <c r="Q25" s="242">
        <v>14.67</v>
      </c>
    </row>
    <row r="26">
      <c r="A26" s="242" t="s">
        <v>471</v>
      </c>
      <c r="B26" s="242" t="s">
        <v>472</v>
      </c>
      <c r="C26" s="242" t="s">
        <v>226</v>
      </c>
      <c r="D26" s="242" t="s">
        <v>473</v>
      </c>
      <c r="E26" s="242" t="s">
        <v>474</v>
      </c>
      <c r="F26" s="417">
        <v>46111.0</v>
      </c>
      <c r="G26" s="242">
        <v>107.6025</v>
      </c>
      <c r="H26" s="242">
        <v>9.65</v>
      </c>
      <c r="I26" s="242">
        <v>9.26</v>
      </c>
      <c r="J26" s="242">
        <v>10.66</v>
      </c>
      <c r="K26" s="242">
        <v>9.45</v>
      </c>
      <c r="L26" s="242">
        <v>9.3</v>
      </c>
      <c r="M26" s="242">
        <v>8.99</v>
      </c>
      <c r="N26" s="242">
        <v>9.41</v>
      </c>
      <c r="O26" s="242">
        <v>9.64</v>
      </c>
      <c r="P26" s="242">
        <v>10.06</v>
      </c>
      <c r="Q26" s="242">
        <v>14.62</v>
      </c>
    </row>
    <row r="27">
      <c r="A27" s="242" t="s">
        <v>471</v>
      </c>
      <c r="B27" s="242" t="s">
        <v>472</v>
      </c>
      <c r="C27" s="242" t="s">
        <v>250</v>
      </c>
      <c r="E27" s="242" t="s">
        <v>474</v>
      </c>
      <c r="F27" s="417">
        <v>46108.0</v>
      </c>
      <c r="G27" s="242">
        <v>105.6822</v>
      </c>
      <c r="H27" s="242">
        <v>10.44</v>
      </c>
      <c r="I27" s="242">
        <v>9.83</v>
      </c>
      <c r="J27" s="242">
        <v>9.82</v>
      </c>
      <c r="K27" s="242">
        <v>9.89</v>
      </c>
      <c r="L27" s="242">
        <v>9.86</v>
      </c>
      <c r="M27" s="242">
        <v>9.98</v>
      </c>
      <c r="N27" s="242">
        <v>10.32</v>
      </c>
      <c r="O27" s="242" t="s">
        <v>474</v>
      </c>
      <c r="P27" s="242" t="s">
        <v>474</v>
      </c>
      <c r="Q27" s="242" t="s">
        <v>474</v>
      </c>
    </row>
    <row r="28">
      <c r="A28" s="242" t="s">
        <v>471</v>
      </c>
      <c r="B28" s="242" t="s">
        <v>472</v>
      </c>
      <c r="C28" s="242" t="s">
        <v>263</v>
      </c>
      <c r="D28" s="242" t="s">
        <v>473</v>
      </c>
      <c r="E28" s="242" t="s">
        <v>474</v>
      </c>
      <c r="F28" s="417">
        <v>46111.0</v>
      </c>
      <c r="G28" s="242">
        <v>108.8185</v>
      </c>
      <c r="H28" s="242">
        <v>9.67</v>
      </c>
      <c r="I28" s="242">
        <v>7.55</v>
      </c>
      <c r="J28" s="242">
        <v>8.94</v>
      </c>
      <c r="K28" s="242">
        <v>7.67</v>
      </c>
      <c r="L28" s="242">
        <v>7.61</v>
      </c>
      <c r="M28" s="242">
        <v>8.38</v>
      </c>
      <c r="N28" s="242">
        <v>9.31</v>
      </c>
      <c r="O28" s="242">
        <v>9.67</v>
      </c>
      <c r="P28" s="242">
        <v>10.04</v>
      </c>
      <c r="Q28" s="242">
        <v>14.62</v>
      </c>
    </row>
    <row r="29">
      <c r="A29" s="242" t="s">
        <v>471</v>
      </c>
      <c r="B29" s="242" t="s">
        <v>472</v>
      </c>
      <c r="C29" s="242" t="s">
        <v>256</v>
      </c>
      <c r="D29" s="242" t="s">
        <v>473</v>
      </c>
      <c r="E29" s="242" t="s">
        <v>474</v>
      </c>
      <c r="F29" s="417">
        <v>46111.0</v>
      </c>
      <c r="G29" s="242">
        <v>108.613</v>
      </c>
      <c r="H29" s="242">
        <v>9.88</v>
      </c>
      <c r="I29" s="242">
        <v>8.88</v>
      </c>
      <c r="J29" s="242">
        <v>9.45</v>
      </c>
      <c r="K29" s="242">
        <v>9.0</v>
      </c>
      <c r="L29" s="242">
        <v>8.89</v>
      </c>
      <c r="M29" s="242">
        <v>9.12</v>
      </c>
      <c r="N29" s="242">
        <v>9.65</v>
      </c>
      <c r="O29" s="242">
        <v>9.88</v>
      </c>
      <c r="P29" s="242">
        <v>10.24</v>
      </c>
      <c r="Q29" s="242">
        <v>14.74</v>
      </c>
    </row>
    <row r="30">
      <c r="A30" s="242" t="s">
        <v>471</v>
      </c>
      <c r="B30" s="242" t="s">
        <v>478</v>
      </c>
      <c r="C30" s="242" t="s">
        <v>230</v>
      </c>
      <c r="D30" s="242" t="s">
        <v>479</v>
      </c>
      <c r="E30" s="242" t="s">
        <v>474</v>
      </c>
      <c r="F30" s="417">
        <v>46110.0</v>
      </c>
      <c r="G30" s="242">
        <v>10.7755</v>
      </c>
      <c r="H30" s="242">
        <v>10.25</v>
      </c>
      <c r="I30" s="242">
        <v>8.95</v>
      </c>
      <c r="J30" s="242">
        <v>10.51</v>
      </c>
      <c r="K30" s="242">
        <v>8.95</v>
      </c>
      <c r="L30" s="242">
        <v>8.96</v>
      </c>
      <c r="M30" s="242">
        <v>9.51</v>
      </c>
      <c r="N30" s="242">
        <v>10.16</v>
      </c>
      <c r="O30" s="242">
        <v>10.24</v>
      </c>
      <c r="P30" s="242">
        <v>10.53</v>
      </c>
      <c r="Q30" s="242">
        <v>15.11</v>
      </c>
    </row>
    <row r="31">
      <c r="A31" s="242" t="s">
        <v>471</v>
      </c>
      <c r="B31" s="242" t="s">
        <v>478</v>
      </c>
      <c r="C31" s="242" t="s">
        <v>359</v>
      </c>
      <c r="D31" s="242" t="s">
        <v>480</v>
      </c>
      <c r="E31" s="242" t="s">
        <v>474</v>
      </c>
      <c r="F31" s="417">
        <v>46108.0</v>
      </c>
      <c r="G31" s="242">
        <v>10.8858</v>
      </c>
      <c r="H31" s="242">
        <v>9.56</v>
      </c>
      <c r="I31" s="242">
        <v>4.9</v>
      </c>
      <c r="J31" s="242">
        <v>-15.07</v>
      </c>
      <c r="K31" s="242">
        <v>5.69</v>
      </c>
      <c r="L31" s="242">
        <v>5.33</v>
      </c>
      <c r="M31" s="242">
        <v>7.87</v>
      </c>
      <c r="N31" s="242">
        <v>9.21</v>
      </c>
      <c r="O31" s="242">
        <v>9.56</v>
      </c>
      <c r="P31" s="242">
        <v>10.56</v>
      </c>
      <c r="Q31" s="242">
        <v>16.18</v>
      </c>
    </row>
    <row r="32">
      <c r="A32" s="242" t="s">
        <v>471</v>
      </c>
      <c r="B32" s="242" t="s">
        <v>478</v>
      </c>
      <c r="C32" s="242" t="s">
        <v>353</v>
      </c>
      <c r="D32" s="242" t="s">
        <v>479</v>
      </c>
      <c r="E32" s="242" t="s">
        <v>474</v>
      </c>
      <c r="F32" s="417">
        <v>46108.0</v>
      </c>
      <c r="G32" s="242">
        <v>10.9298</v>
      </c>
      <c r="H32" s="242">
        <v>9.7</v>
      </c>
      <c r="I32" s="242">
        <v>5.48</v>
      </c>
      <c r="J32" s="242">
        <v>-7.34</v>
      </c>
      <c r="K32" s="242">
        <v>6.07</v>
      </c>
      <c r="L32" s="242">
        <v>6.01</v>
      </c>
      <c r="M32" s="242">
        <v>8.92</v>
      </c>
      <c r="N32" s="242">
        <v>9.32</v>
      </c>
      <c r="O32" s="242">
        <v>9.7</v>
      </c>
      <c r="P32" s="242">
        <v>10.9</v>
      </c>
      <c r="Q32" s="242">
        <v>16.11</v>
      </c>
    </row>
    <row r="33">
      <c r="A33" s="242" t="s">
        <v>471</v>
      </c>
      <c r="B33" s="242" t="s">
        <v>478</v>
      </c>
      <c r="C33" s="242" t="s">
        <v>290</v>
      </c>
      <c r="D33" s="242" t="s">
        <v>475</v>
      </c>
      <c r="E33" s="242" t="s">
        <v>474</v>
      </c>
      <c r="F33" s="417">
        <v>46107.0</v>
      </c>
      <c r="G33" s="242">
        <v>107.776</v>
      </c>
      <c r="H33" s="242">
        <v>9.86</v>
      </c>
      <c r="I33" s="242">
        <v>6.51</v>
      </c>
      <c r="J33" s="242">
        <v>6.13</v>
      </c>
      <c r="K33" s="242">
        <v>6.08</v>
      </c>
      <c r="L33" s="242">
        <v>7.03</v>
      </c>
      <c r="M33" s="242">
        <v>8.52</v>
      </c>
      <c r="N33" s="242">
        <v>9.6</v>
      </c>
      <c r="O33" s="242">
        <v>9.95</v>
      </c>
      <c r="P33" s="242">
        <v>10.72</v>
      </c>
      <c r="Q33" s="242">
        <v>15.33</v>
      </c>
    </row>
    <row r="34">
      <c r="A34" s="242" t="s">
        <v>471</v>
      </c>
      <c r="B34" s="242" t="s">
        <v>478</v>
      </c>
      <c r="C34" s="242" t="s">
        <v>301</v>
      </c>
      <c r="D34" s="242" t="s">
        <v>477</v>
      </c>
      <c r="E34" s="242" t="s">
        <v>474</v>
      </c>
      <c r="F34" s="417">
        <v>46107.0</v>
      </c>
      <c r="G34" s="242">
        <v>109.7125</v>
      </c>
      <c r="H34" s="242">
        <v>9.9</v>
      </c>
      <c r="I34" s="242">
        <v>6.32</v>
      </c>
      <c r="J34" s="242">
        <v>3.03</v>
      </c>
      <c r="K34" s="242">
        <v>6.56</v>
      </c>
      <c r="L34" s="242">
        <v>6.88</v>
      </c>
      <c r="M34" s="242">
        <v>8.33</v>
      </c>
      <c r="N34" s="242">
        <v>9.69</v>
      </c>
      <c r="O34" s="242">
        <v>9.91</v>
      </c>
      <c r="P34" s="242">
        <v>10.44</v>
      </c>
      <c r="Q34" s="242">
        <v>15.19</v>
      </c>
    </row>
    <row r="35">
      <c r="A35" s="242" t="s">
        <v>471</v>
      </c>
      <c r="B35" s="242" t="s">
        <v>478</v>
      </c>
      <c r="C35" s="242" t="s">
        <v>231</v>
      </c>
      <c r="E35" s="242" t="s">
        <v>474</v>
      </c>
      <c r="F35" s="417">
        <v>46107.0</v>
      </c>
      <c r="G35" s="242">
        <v>107.9819</v>
      </c>
      <c r="H35" s="242">
        <v>10.83</v>
      </c>
      <c r="I35" s="242">
        <v>10.76</v>
      </c>
      <c r="J35" s="242">
        <v>10.44</v>
      </c>
      <c r="K35" s="242">
        <v>11.17</v>
      </c>
      <c r="L35" s="242">
        <v>10.73</v>
      </c>
      <c r="M35" s="242">
        <v>10.45</v>
      </c>
      <c r="N35" s="242">
        <v>10.97</v>
      </c>
      <c r="O35" s="242">
        <v>10.83</v>
      </c>
      <c r="P35" s="242" t="s">
        <v>474</v>
      </c>
      <c r="Q35" s="242" t="s">
        <v>474</v>
      </c>
    </row>
    <row r="36">
      <c r="A36" s="242" t="s">
        <v>471</v>
      </c>
      <c r="B36" s="242" t="s">
        <v>478</v>
      </c>
      <c r="C36" s="242" t="s">
        <v>229</v>
      </c>
      <c r="E36" s="242" t="s">
        <v>474</v>
      </c>
      <c r="F36" s="417">
        <v>46107.0</v>
      </c>
      <c r="G36" s="242">
        <v>107.9755</v>
      </c>
      <c r="H36" s="242">
        <v>10.82</v>
      </c>
      <c r="I36" s="242">
        <v>10.27</v>
      </c>
      <c r="J36" s="242">
        <v>10.51</v>
      </c>
      <c r="K36" s="242">
        <v>10.74</v>
      </c>
      <c r="L36" s="242">
        <v>10.23</v>
      </c>
      <c r="M36" s="242">
        <v>10.11</v>
      </c>
      <c r="N36" s="242">
        <v>10.67</v>
      </c>
      <c r="O36" s="242">
        <v>10.83</v>
      </c>
      <c r="P36" s="242" t="s">
        <v>474</v>
      </c>
      <c r="Q36" s="242" t="s">
        <v>474</v>
      </c>
    </row>
    <row r="37">
      <c r="A37" s="242" t="s">
        <v>471</v>
      </c>
      <c r="B37" s="242" t="s">
        <v>478</v>
      </c>
      <c r="C37" s="242" t="s">
        <v>237</v>
      </c>
      <c r="E37" s="242" t="s">
        <v>474</v>
      </c>
      <c r="F37" s="417">
        <v>46107.0</v>
      </c>
      <c r="G37" s="242">
        <v>107.9829</v>
      </c>
      <c r="H37" s="242">
        <v>10.83</v>
      </c>
      <c r="I37" s="242">
        <v>10.19</v>
      </c>
      <c r="J37" s="242">
        <v>10.22</v>
      </c>
      <c r="K37" s="242">
        <v>10.34</v>
      </c>
      <c r="L37" s="242">
        <v>10.18</v>
      </c>
      <c r="M37" s="242">
        <v>9.98</v>
      </c>
      <c r="N37" s="242">
        <v>10.66</v>
      </c>
      <c r="O37" s="242">
        <v>10.84</v>
      </c>
      <c r="P37" s="242" t="s">
        <v>474</v>
      </c>
      <c r="Q37" s="242" t="s">
        <v>474</v>
      </c>
    </row>
    <row r="38">
      <c r="A38" s="242" t="s">
        <v>471</v>
      </c>
      <c r="B38" s="242" t="s">
        <v>478</v>
      </c>
      <c r="C38" s="242" t="s">
        <v>300</v>
      </c>
      <c r="D38" s="242" t="s">
        <v>479</v>
      </c>
      <c r="E38" s="242" t="s">
        <v>474</v>
      </c>
      <c r="F38" s="417">
        <v>46108.0</v>
      </c>
      <c r="G38" s="242">
        <v>107.916</v>
      </c>
      <c r="H38" s="242">
        <v>10.21</v>
      </c>
      <c r="I38" s="242">
        <v>8.53</v>
      </c>
      <c r="J38" s="242">
        <v>3.61</v>
      </c>
      <c r="K38" s="242">
        <v>8.47</v>
      </c>
      <c r="L38" s="242">
        <v>8.67</v>
      </c>
      <c r="M38" s="242">
        <v>9.12</v>
      </c>
      <c r="N38" s="242">
        <v>10.05</v>
      </c>
      <c r="O38" s="242">
        <v>10.21</v>
      </c>
      <c r="P38" s="242">
        <v>10.65</v>
      </c>
      <c r="Q38" s="242">
        <v>3.88</v>
      </c>
    </row>
    <row r="39">
      <c r="A39" s="242" t="s">
        <v>471</v>
      </c>
      <c r="B39" s="242" t="s">
        <v>478</v>
      </c>
      <c r="C39" s="242" t="s">
        <v>236</v>
      </c>
      <c r="D39" s="242" t="s">
        <v>479</v>
      </c>
      <c r="E39" s="242" t="s">
        <v>474</v>
      </c>
      <c r="F39" s="417">
        <v>46108.0</v>
      </c>
      <c r="G39" s="242">
        <v>125.6107</v>
      </c>
      <c r="H39" s="242">
        <v>13.04</v>
      </c>
      <c r="I39" s="242">
        <v>10.25</v>
      </c>
      <c r="J39" s="242">
        <v>10.22</v>
      </c>
      <c r="K39" s="242">
        <v>10.4</v>
      </c>
      <c r="L39" s="242">
        <v>10.23</v>
      </c>
      <c r="M39" s="242">
        <v>12.6</v>
      </c>
      <c r="N39" s="242">
        <v>11.86</v>
      </c>
      <c r="O39" s="242">
        <v>13.04</v>
      </c>
      <c r="P39" s="242">
        <v>12.68</v>
      </c>
      <c r="Q39" s="242">
        <v>14.82</v>
      </c>
    </row>
    <row r="40">
      <c r="A40" s="242" t="s">
        <v>471</v>
      </c>
      <c r="B40" s="242" t="s">
        <v>478</v>
      </c>
      <c r="C40" s="242" t="s">
        <v>358</v>
      </c>
      <c r="D40" s="242" t="s">
        <v>480</v>
      </c>
      <c r="E40" s="242">
        <v>12.0</v>
      </c>
      <c r="F40" s="417">
        <v>46108.0</v>
      </c>
      <c r="G40" s="242">
        <v>122.5677</v>
      </c>
      <c r="H40" s="242">
        <v>9.75</v>
      </c>
      <c r="I40" s="242">
        <v>4.06</v>
      </c>
      <c r="J40" s="242">
        <v>-13.61</v>
      </c>
      <c r="K40" s="242">
        <v>5.01</v>
      </c>
      <c r="L40" s="242">
        <v>3.82</v>
      </c>
      <c r="M40" s="242">
        <v>8.35</v>
      </c>
      <c r="N40" s="242">
        <v>9.91</v>
      </c>
      <c r="O40" s="242">
        <v>9.75</v>
      </c>
      <c r="P40" s="242">
        <v>10.42</v>
      </c>
      <c r="Q40" s="242">
        <v>15.71</v>
      </c>
    </row>
    <row r="41">
      <c r="A41" s="242" t="s">
        <v>471</v>
      </c>
      <c r="B41" s="242" t="s">
        <v>478</v>
      </c>
      <c r="C41" s="242" t="s">
        <v>372</v>
      </c>
      <c r="D41" s="242" t="s">
        <v>480</v>
      </c>
      <c r="E41" s="242" t="s">
        <v>474</v>
      </c>
      <c r="F41" s="417">
        <v>46108.0</v>
      </c>
      <c r="G41" s="242">
        <v>113.8119</v>
      </c>
      <c r="H41" s="242">
        <v>7.59</v>
      </c>
      <c r="I41" s="242">
        <v>-12.55</v>
      </c>
      <c r="J41" s="242">
        <v>-68.91</v>
      </c>
      <c r="K41" s="242">
        <v>-10.27</v>
      </c>
      <c r="L41" s="242">
        <v>-10.39</v>
      </c>
      <c r="M41" s="242">
        <v>1.97</v>
      </c>
      <c r="N41" s="242">
        <v>6.67</v>
      </c>
      <c r="O41" s="242">
        <v>7.59</v>
      </c>
      <c r="P41" s="242">
        <v>10.11</v>
      </c>
      <c r="Q41" s="242">
        <v>15.41</v>
      </c>
    </row>
    <row r="42">
      <c r="A42" s="242" t="s">
        <v>471</v>
      </c>
      <c r="B42" s="242" t="s">
        <v>478</v>
      </c>
      <c r="C42" s="242" t="s">
        <v>371</v>
      </c>
      <c r="D42" s="242" t="s">
        <v>477</v>
      </c>
      <c r="E42" s="242" t="s">
        <v>474</v>
      </c>
      <c r="F42" s="417">
        <v>46108.0</v>
      </c>
      <c r="G42" s="242">
        <v>133.726</v>
      </c>
      <c r="H42" s="242">
        <v>8.11</v>
      </c>
      <c r="I42" s="242">
        <v>-7.11</v>
      </c>
      <c r="J42" s="242">
        <v>-63.73</v>
      </c>
      <c r="K42" s="242">
        <v>-4.07</v>
      </c>
      <c r="L42" s="242">
        <v>-5.51</v>
      </c>
      <c r="M42" s="242">
        <v>3.03</v>
      </c>
      <c r="N42" s="242">
        <v>7.82</v>
      </c>
      <c r="O42" s="242">
        <v>8.11</v>
      </c>
      <c r="P42" s="242">
        <v>10.56</v>
      </c>
      <c r="Q42" s="242">
        <v>15.65</v>
      </c>
    </row>
    <row r="43">
      <c r="A43" s="242" t="s">
        <v>471</v>
      </c>
      <c r="B43" s="242" t="s">
        <v>478</v>
      </c>
      <c r="C43" s="242" t="s">
        <v>376</v>
      </c>
      <c r="E43" s="242" t="s">
        <v>474</v>
      </c>
      <c r="F43" s="417">
        <v>46108.0</v>
      </c>
      <c r="G43" s="242">
        <v>105.0932</v>
      </c>
      <c r="H43" s="242">
        <v>6.55</v>
      </c>
      <c r="I43" s="242">
        <v>-27.38</v>
      </c>
      <c r="J43" s="242">
        <v>-215.68</v>
      </c>
      <c r="K43" s="242">
        <v>-25.51</v>
      </c>
      <c r="L43" s="242">
        <v>-23.77</v>
      </c>
      <c r="M43" s="242">
        <v>-3.24</v>
      </c>
      <c r="N43" s="242">
        <v>5.61</v>
      </c>
      <c r="O43" s="242">
        <v>6.55</v>
      </c>
      <c r="P43" s="242">
        <v>9.47</v>
      </c>
      <c r="Q43" s="242" t="s">
        <v>474</v>
      </c>
    </row>
    <row r="44">
      <c r="A44" s="242" t="s">
        <v>471</v>
      </c>
      <c r="B44" s="242" t="s">
        <v>478</v>
      </c>
      <c r="C44" s="242" t="s">
        <v>19</v>
      </c>
      <c r="E44" s="242" t="s">
        <v>474</v>
      </c>
      <c r="F44" s="417">
        <v>46108.0</v>
      </c>
      <c r="G44" s="242">
        <v>105.8694</v>
      </c>
      <c r="H44" s="242">
        <v>7.81</v>
      </c>
      <c r="I44" s="242">
        <v>-1.93</v>
      </c>
      <c r="J44" s="242">
        <v>-27.78</v>
      </c>
      <c r="K44" s="242">
        <v>2.3</v>
      </c>
      <c r="L44" s="242">
        <v>-0.9</v>
      </c>
      <c r="M44" s="242">
        <v>4.24</v>
      </c>
      <c r="N44" s="242">
        <v>7.43</v>
      </c>
      <c r="O44" s="242">
        <v>7.81</v>
      </c>
      <c r="P44" s="242">
        <v>10.18</v>
      </c>
      <c r="Q44" s="242" t="s">
        <v>474</v>
      </c>
    </row>
    <row r="45">
      <c r="A45" s="242" t="s">
        <v>471</v>
      </c>
      <c r="B45" s="242" t="s">
        <v>478</v>
      </c>
      <c r="C45" s="242" t="s">
        <v>140</v>
      </c>
      <c r="D45" s="242" t="s">
        <v>480</v>
      </c>
      <c r="E45" s="242" t="s">
        <v>474</v>
      </c>
      <c r="F45" s="417">
        <v>46108.0</v>
      </c>
      <c r="G45" s="242">
        <v>112.2606</v>
      </c>
      <c r="H45" s="242">
        <v>11.24</v>
      </c>
      <c r="I45" s="242">
        <v>9.49</v>
      </c>
      <c r="J45" s="242">
        <v>8.76</v>
      </c>
      <c r="K45" s="242">
        <v>9.45</v>
      </c>
      <c r="L45" s="242">
        <v>9.65</v>
      </c>
      <c r="M45" s="242">
        <v>10.21</v>
      </c>
      <c r="N45" s="242">
        <v>10.87</v>
      </c>
      <c r="O45" s="242">
        <v>11.24</v>
      </c>
      <c r="P45" s="242">
        <v>11.63</v>
      </c>
      <c r="Q45" s="242">
        <v>14.23</v>
      </c>
    </row>
    <row r="46">
      <c r="A46" s="242" t="s">
        <v>471</v>
      </c>
      <c r="B46" s="242" t="s">
        <v>478</v>
      </c>
      <c r="C46" s="242" t="s">
        <v>373</v>
      </c>
      <c r="D46" s="242" t="s">
        <v>480</v>
      </c>
      <c r="E46" s="242" t="s">
        <v>474</v>
      </c>
      <c r="F46" s="417">
        <v>46108.0</v>
      </c>
      <c r="G46" s="242">
        <v>111.1438</v>
      </c>
      <c r="H46" s="242">
        <v>8.8</v>
      </c>
      <c r="I46" s="242">
        <v>-13.05</v>
      </c>
      <c r="J46" s="242">
        <v>-117.24</v>
      </c>
      <c r="K46" s="242">
        <v>-12.63</v>
      </c>
      <c r="L46" s="242">
        <v>-10.73</v>
      </c>
      <c r="M46" s="242">
        <v>2.15</v>
      </c>
      <c r="N46" s="242">
        <v>8.07</v>
      </c>
      <c r="O46" s="242">
        <v>8.8</v>
      </c>
      <c r="P46" s="242">
        <v>10.33</v>
      </c>
      <c r="Q46" s="242">
        <v>17.9</v>
      </c>
    </row>
    <row r="47">
      <c r="A47" s="242" t="s">
        <v>471</v>
      </c>
      <c r="B47" s="242" t="s">
        <v>478</v>
      </c>
      <c r="C47" s="242" t="s">
        <v>272</v>
      </c>
      <c r="D47" s="242" t="s">
        <v>480</v>
      </c>
      <c r="E47" s="242" t="s">
        <v>474</v>
      </c>
      <c r="F47" s="417">
        <v>46108.0</v>
      </c>
      <c r="G47" s="242">
        <v>111.3504</v>
      </c>
      <c r="H47" s="242">
        <v>9.14</v>
      </c>
      <c r="I47" s="242">
        <v>8.62</v>
      </c>
      <c r="J47" s="242">
        <v>8.69</v>
      </c>
      <c r="K47" s="242">
        <v>8.54</v>
      </c>
      <c r="L47" s="242">
        <v>8.68</v>
      </c>
      <c r="M47" s="242">
        <v>8.58</v>
      </c>
      <c r="N47" s="242">
        <v>8.97</v>
      </c>
      <c r="O47" s="242">
        <v>9.14</v>
      </c>
      <c r="P47" s="242">
        <v>9.85</v>
      </c>
      <c r="Q47" s="242">
        <v>14.45</v>
      </c>
    </row>
    <row r="48">
      <c r="A48" s="242" t="s">
        <v>471</v>
      </c>
      <c r="B48" s="242" t="s">
        <v>478</v>
      </c>
      <c r="C48" s="242" t="s">
        <v>354</v>
      </c>
      <c r="D48" s="242" t="s">
        <v>480</v>
      </c>
      <c r="E48" s="242" t="s">
        <v>474</v>
      </c>
      <c r="F48" s="417">
        <v>46108.0</v>
      </c>
      <c r="G48" s="242">
        <v>567.5611</v>
      </c>
      <c r="H48" s="242">
        <v>9.78</v>
      </c>
      <c r="I48" s="242">
        <v>3.95</v>
      </c>
      <c r="J48" s="242">
        <v>-7.99</v>
      </c>
      <c r="K48" s="242">
        <v>5.73</v>
      </c>
      <c r="L48" s="242">
        <v>4.56</v>
      </c>
      <c r="M48" s="242">
        <v>7.41</v>
      </c>
      <c r="N48" s="242">
        <v>9.34</v>
      </c>
      <c r="O48" s="242">
        <v>9.78</v>
      </c>
      <c r="P48" s="242">
        <v>10.79</v>
      </c>
      <c r="Q48" s="242">
        <v>15.75</v>
      </c>
    </row>
    <row r="49">
      <c r="A49" s="242" t="s">
        <v>471</v>
      </c>
      <c r="B49" s="242" t="s">
        <v>478</v>
      </c>
      <c r="C49" s="242" t="s">
        <v>364</v>
      </c>
      <c r="D49" s="242" t="s">
        <v>480</v>
      </c>
      <c r="E49" s="242" t="s">
        <v>474</v>
      </c>
      <c r="F49" s="417">
        <v>46108.0</v>
      </c>
      <c r="G49" s="242">
        <v>109.672</v>
      </c>
      <c r="H49" s="242">
        <v>9.18</v>
      </c>
      <c r="I49" s="242">
        <v>-1.92</v>
      </c>
      <c r="J49" s="242">
        <v>-34.6</v>
      </c>
      <c r="K49" s="242">
        <v>2.42</v>
      </c>
      <c r="L49" s="242">
        <v>-0.73</v>
      </c>
      <c r="M49" s="242">
        <v>5.43</v>
      </c>
      <c r="N49" s="242">
        <v>8.67</v>
      </c>
      <c r="O49" s="242">
        <v>9.18</v>
      </c>
      <c r="P49" s="242">
        <v>10.07</v>
      </c>
      <c r="Q49" s="242">
        <v>16.54</v>
      </c>
    </row>
    <row r="50">
      <c r="A50" s="242" t="s">
        <v>471</v>
      </c>
      <c r="B50" s="242" t="s">
        <v>478</v>
      </c>
      <c r="C50" s="242" t="s">
        <v>297</v>
      </c>
      <c r="D50" s="242" t="s">
        <v>479</v>
      </c>
      <c r="E50" s="242" t="s">
        <v>474</v>
      </c>
      <c r="F50" s="417">
        <v>46108.0</v>
      </c>
      <c r="G50" s="242">
        <v>105.5794</v>
      </c>
      <c r="H50" s="242">
        <v>7.06</v>
      </c>
      <c r="I50" s="242">
        <v>5.34</v>
      </c>
      <c r="J50" s="242">
        <v>4.93</v>
      </c>
      <c r="K50" s="242">
        <v>4.66</v>
      </c>
      <c r="L50" s="242">
        <v>5.48</v>
      </c>
      <c r="M50" s="242">
        <v>6.28</v>
      </c>
      <c r="N50" s="242">
        <v>6.74</v>
      </c>
      <c r="O50" s="242">
        <v>7.06</v>
      </c>
      <c r="P50" s="242">
        <v>7.64</v>
      </c>
      <c r="Q50" s="242">
        <v>12.8</v>
      </c>
    </row>
    <row r="51">
      <c r="A51" s="242" t="s">
        <v>471</v>
      </c>
      <c r="B51" s="242" t="s">
        <v>478</v>
      </c>
      <c r="C51" s="242" t="s">
        <v>361</v>
      </c>
      <c r="D51" s="242" t="s">
        <v>479</v>
      </c>
      <c r="E51" s="242" t="s">
        <v>474</v>
      </c>
      <c r="F51" s="417">
        <v>46108.0</v>
      </c>
      <c r="G51" s="242">
        <v>116.7417</v>
      </c>
      <c r="H51" s="242">
        <v>7.4</v>
      </c>
      <c r="I51" s="242">
        <v>-7.49</v>
      </c>
      <c r="J51" s="242">
        <v>-20.73</v>
      </c>
      <c r="K51" s="242">
        <v>-15.03</v>
      </c>
      <c r="L51" s="242">
        <v>-6.5</v>
      </c>
      <c r="M51" s="242">
        <v>2.61</v>
      </c>
      <c r="N51" s="242">
        <v>6.17</v>
      </c>
      <c r="O51" s="242">
        <v>7.4</v>
      </c>
      <c r="P51" s="242">
        <v>8.4</v>
      </c>
      <c r="Q51" s="242">
        <v>14.54</v>
      </c>
    </row>
    <row r="52">
      <c r="A52" s="242" t="s">
        <v>471</v>
      </c>
      <c r="B52" s="242" t="s">
        <v>478</v>
      </c>
      <c r="C52" s="242" t="s">
        <v>276</v>
      </c>
      <c r="E52" s="242" t="s">
        <v>474</v>
      </c>
      <c r="F52" s="417">
        <v>46106.0</v>
      </c>
      <c r="G52" s="242">
        <v>109.4986</v>
      </c>
      <c r="H52" s="242">
        <v>9.39</v>
      </c>
      <c r="I52" s="242">
        <v>6.8</v>
      </c>
      <c r="J52" s="242">
        <v>8.36</v>
      </c>
      <c r="K52" s="242">
        <v>7.03</v>
      </c>
      <c r="L52" s="242">
        <v>7.07</v>
      </c>
      <c r="M52" s="242">
        <v>8.21</v>
      </c>
      <c r="N52" s="242">
        <v>9.12</v>
      </c>
      <c r="O52" s="242">
        <v>9.72</v>
      </c>
      <c r="P52" s="242">
        <v>10.29</v>
      </c>
      <c r="Q52" s="242">
        <v>14.92</v>
      </c>
    </row>
    <row r="53">
      <c r="A53" s="242" t="s">
        <v>471</v>
      </c>
      <c r="B53" s="242" t="s">
        <v>478</v>
      </c>
      <c r="C53" s="242" t="s">
        <v>239</v>
      </c>
      <c r="E53" s="242" t="s">
        <v>474</v>
      </c>
      <c r="F53" s="417">
        <v>46108.0</v>
      </c>
      <c r="G53" s="242">
        <v>101.6918</v>
      </c>
      <c r="H53" s="242">
        <v>16.19</v>
      </c>
      <c r="I53" s="242">
        <v>10.23</v>
      </c>
      <c r="J53" s="242">
        <v>10.15</v>
      </c>
      <c r="K53" s="242">
        <v>10.21</v>
      </c>
      <c r="L53" s="242">
        <v>10.23</v>
      </c>
      <c r="M53" s="242">
        <v>10.83</v>
      </c>
      <c r="N53" s="242">
        <v>11.1</v>
      </c>
      <c r="O53" s="242">
        <v>11.54</v>
      </c>
      <c r="P53" s="242">
        <v>11.63</v>
      </c>
      <c r="Q53" s="242">
        <v>16.18</v>
      </c>
    </row>
    <row r="54">
      <c r="A54" s="242" t="s">
        <v>471</v>
      </c>
      <c r="B54" s="242" t="s">
        <v>478</v>
      </c>
      <c r="C54" s="242" t="s">
        <v>366</v>
      </c>
      <c r="D54" s="242" t="s">
        <v>480</v>
      </c>
      <c r="E54" s="242" t="s">
        <v>474</v>
      </c>
      <c r="F54" s="417">
        <v>46108.0</v>
      </c>
      <c r="G54" s="242">
        <v>122.2379</v>
      </c>
      <c r="H54" s="242">
        <v>9.69</v>
      </c>
      <c r="I54" s="242">
        <v>-6.12</v>
      </c>
      <c r="J54" s="242">
        <v>-45.95</v>
      </c>
      <c r="K54" s="242">
        <v>-2.74</v>
      </c>
      <c r="L54" s="242">
        <v>-4.57</v>
      </c>
      <c r="M54" s="242">
        <v>4.97</v>
      </c>
      <c r="N54" s="242">
        <v>9.65</v>
      </c>
      <c r="O54" s="242">
        <v>9.69</v>
      </c>
      <c r="P54" s="242">
        <v>10.54</v>
      </c>
      <c r="Q54" s="242">
        <v>16.56</v>
      </c>
    </row>
    <row r="55">
      <c r="A55" s="242" t="s">
        <v>471</v>
      </c>
      <c r="B55" s="242" t="s">
        <v>478</v>
      </c>
      <c r="C55" s="242" t="s">
        <v>220</v>
      </c>
      <c r="D55" s="242" t="s">
        <v>479</v>
      </c>
      <c r="E55" s="242" t="s">
        <v>474</v>
      </c>
      <c r="F55" s="417">
        <v>46105.0</v>
      </c>
      <c r="G55" s="242">
        <v>121.2221</v>
      </c>
      <c r="H55" s="242">
        <v>9.59</v>
      </c>
      <c r="I55" s="242">
        <v>-0.47</v>
      </c>
      <c r="J55" s="242">
        <v>11.13</v>
      </c>
      <c r="K55" s="242">
        <v>6.38</v>
      </c>
      <c r="L55" s="242">
        <v>1.11</v>
      </c>
      <c r="M55" s="242">
        <v>6.51</v>
      </c>
      <c r="N55" s="242">
        <v>9.61</v>
      </c>
      <c r="O55" s="242">
        <v>9.25</v>
      </c>
      <c r="P55" s="242">
        <v>9.82</v>
      </c>
      <c r="Q55" s="242">
        <v>14.92</v>
      </c>
    </row>
    <row r="56">
      <c r="A56" s="242" t="s">
        <v>471</v>
      </c>
      <c r="B56" s="242" t="s">
        <v>478</v>
      </c>
      <c r="C56" s="242" t="s">
        <v>375</v>
      </c>
      <c r="D56" s="242" t="s">
        <v>477</v>
      </c>
      <c r="E56" s="242" t="s">
        <v>474</v>
      </c>
      <c r="F56" s="417">
        <v>46108.0</v>
      </c>
      <c r="G56" s="242">
        <v>117.6845</v>
      </c>
      <c r="H56" s="242">
        <v>6.75</v>
      </c>
      <c r="I56" s="242">
        <v>-15.72</v>
      </c>
      <c r="J56" s="242">
        <v>-191.7</v>
      </c>
      <c r="K56" s="242">
        <v>-16.16</v>
      </c>
      <c r="L56" s="242">
        <v>-13.3</v>
      </c>
      <c r="M56" s="242">
        <v>-0.32</v>
      </c>
      <c r="N56" s="242">
        <v>5.59</v>
      </c>
      <c r="O56" s="242">
        <v>6.75</v>
      </c>
      <c r="P56" s="242">
        <v>8.7</v>
      </c>
      <c r="Q56" s="242">
        <v>14.2</v>
      </c>
    </row>
    <row r="57">
      <c r="A57" s="242" t="s">
        <v>471</v>
      </c>
      <c r="B57" s="242" t="s">
        <v>478</v>
      </c>
      <c r="C57" s="242" t="s">
        <v>363</v>
      </c>
      <c r="D57" s="242" t="s">
        <v>479</v>
      </c>
      <c r="E57" s="242" t="s">
        <v>474</v>
      </c>
      <c r="F57" s="417">
        <v>46108.0</v>
      </c>
      <c r="G57" s="242">
        <v>123.2696</v>
      </c>
      <c r="H57" s="242">
        <v>7.86</v>
      </c>
      <c r="I57" s="242">
        <v>0.09</v>
      </c>
      <c r="J57" s="242">
        <v>-27.41</v>
      </c>
      <c r="K57" s="242">
        <v>0.66</v>
      </c>
      <c r="L57" s="242">
        <v>1.0</v>
      </c>
      <c r="M57" s="242">
        <v>4.28</v>
      </c>
      <c r="N57" s="242">
        <v>6.33</v>
      </c>
      <c r="O57" s="242">
        <v>7.86</v>
      </c>
      <c r="P57" s="242">
        <v>9.26</v>
      </c>
      <c r="Q57" s="242">
        <v>13.9</v>
      </c>
    </row>
    <row r="58">
      <c r="A58" s="242" t="s">
        <v>471</v>
      </c>
      <c r="B58" s="242" t="s">
        <v>478</v>
      </c>
      <c r="C58" s="242" t="s">
        <v>225</v>
      </c>
      <c r="D58" s="242" t="s">
        <v>481</v>
      </c>
      <c r="E58" s="242" t="s">
        <v>474</v>
      </c>
      <c r="F58" s="417">
        <v>46108.0</v>
      </c>
      <c r="G58" s="242">
        <v>117.2817</v>
      </c>
      <c r="H58" s="242">
        <v>11.4</v>
      </c>
      <c r="I58" s="242">
        <v>10.67</v>
      </c>
      <c r="J58" s="242">
        <v>10.69</v>
      </c>
      <c r="K58" s="242">
        <v>10.77</v>
      </c>
      <c r="L58" s="242">
        <v>10.69</v>
      </c>
      <c r="M58" s="242">
        <v>10.91</v>
      </c>
      <c r="N58" s="242">
        <v>11.28</v>
      </c>
      <c r="O58" s="242">
        <v>11.4</v>
      </c>
      <c r="P58" s="242">
        <v>11.51</v>
      </c>
      <c r="Q58" s="242">
        <v>16.04</v>
      </c>
    </row>
    <row r="59">
      <c r="A59" s="242" t="s">
        <v>471</v>
      </c>
      <c r="B59" s="242" t="s">
        <v>478</v>
      </c>
      <c r="C59" s="242" t="s">
        <v>283</v>
      </c>
      <c r="D59" s="242" t="s">
        <v>479</v>
      </c>
      <c r="E59" s="242" t="s">
        <v>474</v>
      </c>
      <c r="F59" s="417">
        <v>46106.0</v>
      </c>
      <c r="G59" s="242">
        <v>109.5542</v>
      </c>
      <c r="H59" s="242">
        <v>9.75</v>
      </c>
      <c r="I59" s="242">
        <v>-4.36</v>
      </c>
      <c r="J59" s="242">
        <v>7.85</v>
      </c>
      <c r="K59" s="242">
        <v>-1.89</v>
      </c>
      <c r="L59" s="242">
        <v>-2.69</v>
      </c>
      <c r="M59" s="242">
        <v>5.24</v>
      </c>
      <c r="N59" s="242">
        <v>8.95</v>
      </c>
      <c r="O59" s="242">
        <v>9.74</v>
      </c>
      <c r="P59" s="242">
        <v>11.44</v>
      </c>
      <c r="Q59" s="242">
        <v>16.77</v>
      </c>
    </row>
    <row r="60">
      <c r="A60" s="242" t="s">
        <v>471</v>
      </c>
      <c r="B60" s="242" t="s">
        <v>478</v>
      </c>
      <c r="C60" s="242" t="s">
        <v>356</v>
      </c>
      <c r="D60" s="242" t="s">
        <v>480</v>
      </c>
      <c r="E60" s="242" t="s">
        <v>474</v>
      </c>
      <c r="F60" s="417">
        <v>46108.0</v>
      </c>
      <c r="G60" s="242">
        <v>116.6317</v>
      </c>
      <c r="H60" s="242">
        <v>8.76</v>
      </c>
      <c r="I60" s="242">
        <v>2.22</v>
      </c>
      <c r="J60" s="242">
        <v>-9.53</v>
      </c>
      <c r="K60" s="242">
        <v>2.51</v>
      </c>
      <c r="L60" s="242">
        <v>2.72</v>
      </c>
      <c r="M60" s="242">
        <v>6.47</v>
      </c>
      <c r="N60" s="242">
        <v>8.19</v>
      </c>
      <c r="O60" s="242">
        <v>8.76</v>
      </c>
      <c r="P60" s="242">
        <v>9.68</v>
      </c>
      <c r="Q60" s="242">
        <v>14.95</v>
      </c>
    </row>
    <row r="61">
      <c r="A61" s="242" t="s">
        <v>471</v>
      </c>
      <c r="B61" s="242" t="s">
        <v>478</v>
      </c>
      <c r="C61" s="242" t="s">
        <v>362</v>
      </c>
      <c r="D61" s="242" t="s">
        <v>477</v>
      </c>
      <c r="E61" s="242" t="s">
        <v>474</v>
      </c>
      <c r="F61" s="417">
        <v>46108.0</v>
      </c>
      <c r="G61" s="242">
        <v>107.0949</v>
      </c>
      <c r="H61" s="242">
        <v>9.07</v>
      </c>
      <c r="I61" s="242">
        <v>-1.07</v>
      </c>
      <c r="J61" s="242">
        <v>-27.41</v>
      </c>
      <c r="K61" s="242">
        <v>-3.29</v>
      </c>
      <c r="L61" s="242">
        <v>0.05</v>
      </c>
      <c r="M61" s="242">
        <v>5.62</v>
      </c>
      <c r="N61" s="242">
        <v>8.32</v>
      </c>
      <c r="O61" s="242">
        <v>9.07</v>
      </c>
      <c r="P61" s="242">
        <v>10.37</v>
      </c>
      <c r="Q61" s="242" t="s">
        <v>474</v>
      </c>
    </row>
    <row r="62">
      <c r="A62" s="242" t="s">
        <v>471</v>
      </c>
      <c r="B62" s="242" t="s">
        <v>478</v>
      </c>
      <c r="C62" s="242" t="s">
        <v>68</v>
      </c>
      <c r="D62" s="242" t="s">
        <v>480</v>
      </c>
      <c r="E62" s="242" t="s">
        <v>474</v>
      </c>
      <c r="F62" s="417">
        <v>46108.0</v>
      </c>
      <c r="G62" s="242">
        <v>58.19</v>
      </c>
      <c r="H62" s="242">
        <v>7.76</v>
      </c>
      <c r="I62" s="242">
        <v>-10.15</v>
      </c>
      <c r="J62" s="242">
        <v>-100.08</v>
      </c>
      <c r="K62" s="242">
        <v>-8.75</v>
      </c>
      <c r="L62" s="242">
        <v>-8.31</v>
      </c>
      <c r="M62" s="242">
        <v>1.82</v>
      </c>
      <c r="N62" s="242">
        <v>6.77</v>
      </c>
      <c r="O62" s="242">
        <v>7.76</v>
      </c>
      <c r="P62" s="242">
        <v>9.87</v>
      </c>
      <c r="Q62" s="242">
        <v>15.67</v>
      </c>
    </row>
    <row r="63">
      <c r="A63" s="242" t="s">
        <v>471</v>
      </c>
      <c r="B63" s="242" t="s">
        <v>478</v>
      </c>
      <c r="C63" s="242" t="s">
        <v>295</v>
      </c>
      <c r="D63" s="242" t="s">
        <v>479</v>
      </c>
      <c r="E63" s="242" t="s">
        <v>474</v>
      </c>
      <c r="F63" s="417">
        <v>46108.0</v>
      </c>
      <c r="G63" s="242">
        <v>11.4935</v>
      </c>
      <c r="H63" s="242">
        <v>10.31</v>
      </c>
      <c r="I63" s="242">
        <v>8.46</v>
      </c>
      <c r="J63" s="242">
        <v>5.73</v>
      </c>
      <c r="K63" s="242">
        <v>8.26</v>
      </c>
      <c r="L63" s="242">
        <v>8.59</v>
      </c>
      <c r="M63" s="242">
        <v>9.55</v>
      </c>
      <c r="N63" s="242">
        <v>10.26</v>
      </c>
      <c r="O63" s="242">
        <v>10.31</v>
      </c>
      <c r="P63" s="242">
        <v>10.74</v>
      </c>
      <c r="Q63" s="242">
        <v>15.2</v>
      </c>
    </row>
    <row r="64">
      <c r="A64" s="242" t="s">
        <v>471</v>
      </c>
      <c r="B64" s="242" t="s">
        <v>478</v>
      </c>
      <c r="C64" s="242" t="s">
        <v>370</v>
      </c>
      <c r="D64" s="242" t="s">
        <v>477</v>
      </c>
      <c r="E64" s="242" t="s">
        <v>474</v>
      </c>
      <c r="F64" s="417">
        <v>46108.0</v>
      </c>
      <c r="G64" s="242">
        <v>10.7399</v>
      </c>
      <c r="H64" s="242">
        <v>8.97</v>
      </c>
      <c r="I64" s="242">
        <v>-2.66</v>
      </c>
      <c r="J64" s="242">
        <v>-63.11</v>
      </c>
      <c r="K64" s="242">
        <v>-1.97</v>
      </c>
      <c r="L64" s="242">
        <v>-1.49</v>
      </c>
      <c r="M64" s="242">
        <v>5.16</v>
      </c>
      <c r="N64" s="242">
        <v>8.7</v>
      </c>
      <c r="O64" s="242">
        <v>8.97</v>
      </c>
      <c r="P64" s="242">
        <v>10.26</v>
      </c>
      <c r="Q64" s="242">
        <v>15.94</v>
      </c>
    </row>
    <row r="65">
      <c r="A65" s="242" t="s">
        <v>471</v>
      </c>
      <c r="B65" s="242" t="s">
        <v>478</v>
      </c>
      <c r="C65" s="242" t="s">
        <v>209</v>
      </c>
      <c r="E65" s="242" t="s">
        <v>474</v>
      </c>
      <c r="F65" s="417">
        <v>46108.0</v>
      </c>
      <c r="G65" s="242">
        <v>10.6066</v>
      </c>
      <c r="H65" s="242">
        <v>10.35</v>
      </c>
      <c r="I65" s="242">
        <v>5.26</v>
      </c>
      <c r="J65" s="242">
        <v>15.15</v>
      </c>
      <c r="K65" s="242">
        <v>4.04</v>
      </c>
      <c r="L65" s="242">
        <v>5.51</v>
      </c>
      <c r="M65" s="242">
        <v>8.68</v>
      </c>
      <c r="N65" s="242">
        <v>10.36</v>
      </c>
      <c r="O65" s="242" t="s">
        <v>474</v>
      </c>
      <c r="P65" s="242" t="s">
        <v>474</v>
      </c>
      <c r="Q65" s="242" t="s">
        <v>474</v>
      </c>
    </row>
    <row r="66">
      <c r="A66" s="242" t="s">
        <v>471</v>
      </c>
      <c r="B66" s="242" t="s">
        <v>478</v>
      </c>
      <c r="C66" s="242" t="s">
        <v>369</v>
      </c>
      <c r="D66" s="242" t="s">
        <v>480</v>
      </c>
      <c r="E66" s="242" t="s">
        <v>474</v>
      </c>
      <c r="F66" s="417">
        <v>46108.0</v>
      </c>
      <c r="G66" s="242">
        <v>11.2122</v>
      </c>
      <c r="H66" s="242">
        <v>8.76</v>
      </c>
      <c r="I66" s="242">
        <v>-6.1</v>
      </c>
      <c r="J66" s="242">
        <v>-60.44</v>
      </c>
      <c r="K66" s="242">
        <v>-5.41</v>
      </c>
      <c r="L66" s="242">
        <v>-4.62</v>
      </c>
      <c r="M66" s="242">
        <v>4.06</v>
      </c>
      <c r="N66" s="242">
        <v>8.3</v>
      </c>
      <c r="O66" s="242">
        <v>8.76</v>
      </c>
      <c r="P66" s="242">
        <v>10.27</v>
      </c>
      <c r="Q66" s="242">
        <v>15.73</v>
      </c>
    </row>
    <row r="67">
      <c r="A67" s="242" t="s">
        <v>471</v>
      </c>
      <c r="B67" s="242" t="s">
        <v>478</v>
      </c>
      <c r="C67" s="242" t="s">
        <v>303</v>
      </c>
      <c r="D67" s="242" t="s">
        <v>479</v>
      </c>
      <c r="E67" s="242" t="s">
        <v>474</v>
      </c>
      <c r="F67" s="417">
        <v>46108.0</v>
      </c>
      <c r="G67" s="242">
        <v>12.0469</v>
      </c>
      <c r="H67" s="242">
        <v>14.18</v>
      </c>
      <c r="I67" s="242">
        <v>6.99</v>
      </c>
      <c r="J67" s="242">
        <v>1.83</v>
      </c>
      <c r="K67" s="242">
        <v>7.39</v>
      </c>
      <c r="L67" s="242">
        <v>6.9</v>
      </c>
      <c r="M67" s="242">
        <v>8.89</v>
      </c>
      <c r="N67" s="242">
        <v>9.98</v>
      </c>
      <c r="O67" s="242">
        <v>14.18</v>
      </c>
      <c r="P67" s="242">
        <v>15.5</v>
      </c>
      <c r="Q67" s="242">
        <v>18.65</v>
      </c>
    </row>
    <row r="68">
      <c r="A68" s="242" t="s">
        <v>471</v>
      </c>
      <c r="B68" s="242" t="s">
        <v>478</v>
      </c>
      <c r="C68" s="242" t="s">
        <v>294</v>
      </c>
      <c r="E68" s="242" t="s">
        <v>474</v>
      </c>
      <c r="F68" s="417">
        <v>46108.0</v>
      </c>
      <c r="G68" s="242">
        <v>10.1169</v>
      </c>
      <c r="H68" s="242">
        <v>10.08</v>
      </c>
      <c r="I68" s="242">
        <v>8.3</v>
      </c>
      <c r="J68" s="242">
        <v>5.77</v>
      </c>
      <c r="K68" s="242">
        <v>8.11</v>
      </c>
      <c r="L68" s="242">
        <v>8.42</v>
      </c>
      <c r="M68" s="242">
        <v>9.42</v>
      </c>
      <c r="N68" s="242">
        <v>10.12</v>
      </c>
      <c r="O68" s="242">
        <v>10.08</v>
      </c>
      <c r="P68" s="242">
        <v>10.46</v>
      </c>
      <c r="Q68" s="242">
        <v>15.02</v>
      </c>
    </row>
    <row r="69">
      <c r="A69" s="242" t="s">
        <v>471</v>
      </c>
      <c r="B69" s="242" t="s">
        <v>478</v>
      </c>
      <c r="C69" s="242" t="s">
        <v>248</v>
      </c>
      <c r="D69" s="242" t="s">
        <v>480</v>
      </c>
      <c r="E69" s="242" t="s">
        <v>474</v>
      </c>
      <c r="F69" s="417">
        <v>46108.0</v>
      </c>
      <c r="G69" s="242">
        <v>11.1056</v>
      </c>
      <c r="H69" s="242">
        <v>10.61</v>
      </c>
      <c r="I69" s="242">
        <v>9.8</v>
      </c>
      <c r="J69" s="242">
        <v>9.86</v>
      </c>
      <c r="K69" s="242">
        <v>9.79</v>
      </c>
      <c r="L69" s="242">
        <v>9.81</v>
      </c>
      <c r="M69" s="242">
        <v>10.19</v>
      </c>
      <c r="N69" s="242">
        <v>10.56</v>
      </c>
      <c r="O69" s="242">
        <v>10.61</v>
      </c>
      <c r="P69" s="242">
        <v>10.87</v>
      </c>
      <c r="Q69" s="242">
        <v>15.11</v>
      </c>
    </row>
    <row r="70">
      <c r="A70" s="242" t="s">
        <v>471</v>
      </c>
      <c r="B70" s="242" t="s">
        <v>478</v>
      </c>
      <c r="C70" s="242" t="s">
        <v>269</v>
      </c>
      <c r="D70" s="242" t="s">
        <v>479</v>
      </c>
      <c r="E70" s="242" t="s">
        <v>474</v>
      </c>
      <c r="F70" s="417">
        <v>46109.0</v>
      </c>
      <c r="G70" s="242">
        <v>10.9346</v>
      </c>
      <c r="H70" s="242">
        <v>13.87</v>
      </c>
      <c r="I70" s="242">
        <v>8.86</v>
      </c>
      <c r="J70" s="242">
        <v>8.69</v>
      </c>
      <c r="K70" s="242">
        <v>8.98</v>
      </c>
      <c r="L70" s="242">
        <v>8.91</v>
      </c>
      <c r="M70" s="242">
        <v>9.35</v>
      </c>
      <c r="N70" s="242">
        <v>9.87</v>
      </c>
      <c r="O70" s="242">
        <v>13.87</v>
      </c>
      <c r="P70" s="242">
        <v>13.38</v>
      </c>
      <c r="Q70" s="242">
        <v>16.84</v>
      </c>
    </row>
    <row r="71">
      <c r="A71" s="242" t="s">
        <v>471</v>
      </c>
      <c r="B71" s="242" t="s">
        <v>478</v>
      </c>
      <c r="C71" s="242" t="s">
        <v>368</v>
      </c>
      <c r="D71" s="242" t="s">
        <v>477</v>
      </c>
      <c r="E71" s="242" t="s">
        <v>474</v>
      </c>
      <c r="F71" s="417">
        <v>46108.0</v>
      </c>
      <c r="G71" s="242">
        <v>10.6443</v>
      </c>
      <c r="H71" s="242">
        <v>7.7</v>
      </c>
      <c r="I71" s="242">
        <v>-6.7</v>
      </c>
      <c r="J71" s="242">
        <v>-57.85</v>
      </c>
      <c r="K71" s="242">
        <v>-6.0</v>
      </c>
      <c r="L71" s="242">
        <v>-5.01</v>
      </c>
      <c r="M71" s="242">
        <v>2.93</v>
      </c>
      <c r="N71" s="242">
        <v>6.6</v>
      </c>
      <c r="O71" s="242">
        <v>7.7</v>
      </c>
      <c r="P71" s="242">
        <v>9.31</v>
      </c>
      <c r="Q71" s="242">
        <v>14.99</v>
      </c>
    </row>
    <row r="72">
      <c r="A72" s="242" t="s">
        <v>471</v>
      </c>
      <c r="B72" s="242" t="s">
        <v>478</v>
      </c>
      <c r="C72" s="242" t="s">
        <v>345</v>
      </c>
      <c r="D72" s="242" t="s">
        <v>480</v>
      </c>
      <c r="E72" s="242" t="s">
        <v>474</v>
      </c>
      <c r="F72" s="417">
        <v>46108.0</v>
      </c>
      <c r="G72" s="242">
        <v>11.0401</v>
      </c>
      <c r="H72" s="242">
        <v>9.67</v>
      </c>
      <c r="I72" s="242">
        <v>4.84</v>
      </c>
      <c r="J72" s="242">
        <v>-1.31</v>
      </c>
      <c r="K72" s="242">
        <v>3.69</v>
      </c>
      <c r="L72" s="242">
        <v>5.38</v>
      </c>
      <c r="M72" s="242">
        <v>8.46</v>
      </c>
      <c r="N72" s="242">
        <v>9.54</v>
      </c>
      <c r="O72" s="242">
        <v>9.67</v>
      </c>
      <c r="P72" s="242">
        <v>10.47</v>
      </c>
      <c r="Q72" s="242">
        <v>14.83</v>
      </c>
    </row>
    <row r="73">
      <c r="A73" s="242" t="s">
        <v>471</v>
      </c>
      <c r="B73" s="242" t="s">
        <v>478</v>
      </c>
      <c r="C73" s="242" t="s">
        <v>238</v>
      </c>
      <c r="D73" s="242" t="s">
        <v>479</v>
      </c>
      <c r="E73" s="242" t="s">
        <v>474</v>
      </c>
      <c r="F73" s="417">
        <v>46108.0</v>
      </c>
      <c r="G73" s="242">
        <v>11.0961</v>
      </c>
      <c r="H73" s="242">
        <v>10.84</v>
      </c>
      <c r="I73" s="242">
        <v>10.57</v>
      </c>
      <c r="J73" s="242">
        <v>10.18</v>
      </c>
      <c r="K73" s="242">
        <v>10.53</v>
      </c>
      <c r="L73" s="242">
        <v>10.64</v>
      </c>
      <c r="M73" s="242">
        <v>10.98</v>
      </c>
      <c r="N73" s="242">
        <v>10.96</v>
      </c>
      <c r="O73" s="242">
        <v>10.84</v>
      </c>
      <c r="P73" s="242">
        <v>11.16</v>
      </c>
      <c r="Q73" s="242">
        <v>15.3</v>
      </c>
    </row>
    <row r="74">
      <c r="A74" s="242" t="s">
        <v>471</v>
      </c>
      <c r="B74" s="242" t="s">
        <v>478</v>
      </c>
      <c r="C74" s="242" t="s">
        <v>299</v>
      </c>
      <c r="D74" s="242" t="s">
        <v>479</v>
      </c>
      <c r="E74" s="242" t="s">
        <v>474</v>
      </c>
      <c r="F74" s="417">
        <v>46108.0</v>
      </c>
      <c r="G74" s="242">
        <v>11.5248</v>
      </c>
      <c r="H74" s="242">
        <v>7.73</v>
      </c>
      <c r="I74" s="242">
        <v>5.95</v>
      </c>
      <c r="J74" s="242">
        <v>4.42</v>
      </c>
      <c r="K74" s="242">
        <v>5.99</v>
      </c>
      <c r="L74" s="242">
        <v>5.97</v>
      </c>
      <c r="M74" s="242">
        <v>7.09</v>
      </c>
      <c r="N74" s="242">
        <v>7.37</v>
      </c>
      <c r="O74" s="242">
        <v>7.73</v>
      </c>
      <c r="P74" s="242">
        <v>7.97</v>
      </c>
      <c r="Q74" s="242">
        <v>12.37</v>
      </c>
    </row>
    <row r="75">
      <c r="A75" s="242" t="s">
        <v>471</v>
      </c>
      <c r="B75" s="242" t="s">
        <v>478</v>
      </c>
      <c r="C75" s="242" t="s">
        <v>224</v>
      </c>
      <c r="E75" s="242" t="s">
        <v>474</v>
      </c>
      <c r="F75" s="417">
        <v>46108.0</v>
      </c>
      <c r="G75" s="242">
        <v>108.6587</v>
      </c>
      <c r="H75" s="242">
        <v>14.44</v>
      </c>
      <c r="I75" s="242">
        <v>10.77</v>
      </c>
      <c r="J75" s="242">
        <v>10.73</v>
      </c>
      <c r="K75" s="242">
        <v>10.77</v>
      </c>
      <c r="L75" s="242">
        <v>10.77</v>
      </c>
      <c r="M75" s="242">
        <v>11.01</v>
      </c>
      <c r="N75" s="242">
        <v>11.11</v>
      </c>
      <c r="O75" s="242">
        <v>10.91</v>
      </c>
      <c r="P75" s="242">
        <v>11.01</v>
      </c>
      <c r="Q75" s="242" t="s">
        <v>474</v>
      </c>
    </row>
    <row r="76">
      <c r="A76" s="242" t="s">
        <v>471</v>
      </c>
      <c r="B76" s="242" t="s">
        <v>478</v>
      </c>
      <c r="C76" s="242" t="s">
        <v>302</v>
      </c>
      <c r="D76" s="242" t="s">
        <v>477</v>
      </c>
      <c r="E76" s="242" t="s">
        <v>474</v>
      </c>
      <c r="F76" s="417">
        <v>46108.0</v>
      </c>
      <c r="G76" s="242">
        <v>62.8879</v>
      </c>
      <c r="H76" s="242">
        <v>19.32</v>
      </c>
      <c r="I76" s="242">
        <v>7.24</v>
      </c>
      <c r="J76" s="242">
        <v>2.08</v>
      </c>
      <c r="K76" s="242">
        <v>7.22</v>
      </c>
      <c r="L76" s="242">
        <v>7.29</v>
      </c>
      <c r="M76" s="242">
        <v>35.41</v>
      </c>
      <c r="N76" s="242">
        <v>22.94</v>
      </c>
      <c r="O76" s="242">
        <v>19.32</v>
      </c>
      <c r="P76" s="242">
        <v>18.02</v>
      </c>
      <c r="Q76" s="242">
        <v>20.48</v>
      </c>
    </row>
    <row r="77">
      <c r="A77" s="242" t="s">
        <v>471</v>
      </c>
      <c r="B77" s="242" t="s">
        <v>478</v>
      </c>
      <c r="C77" s="242" t="s">
        <v>245</v>
      </c>
      <c r="D77" s="242" t="s">
        <v>477</v>
      </c>
      <c r="E77" s="242" t="s">
        <v>474</v>
      </c>
      <c r="F77" s="417">
        <v>46110.0</v>
      </c>
      <c r="G77" s="242">
        <v>113.9274</v>
      </c>
      <c r="H77" s="242">
        <v>9.33</v>
      </c>
      <c r="I77" s="242">
        <v>-7.47</v>
      </c>
      <c r="J77" s="242">
        <v>9.89</v>
      </c>
      <c r="K77" s="242">
        <v>-5.4</v>
      </c>
      <c r="L77" s="242">
        <v>-6.91</v>
      </c>
      <c r="M77" s="242">
        <v>3.56</v>
      </c>
      <c r="N77" s="242">
        <v>8.61</v>
      </c>
      <c r="O77" s="242">
        <v>9.14</v>
      </c>
      <c r="P77" s="242">
        <v>11.51</v>
      </c>
      <c r="Q77" s="242">
        <v>17.0</v>
      </c>
    </row>
    <row r="78">
      <c r="A78" s="242" t="s">
        <v>471</v>
      </c>
      <c r="B78" s="242" t="s">
        <v>478</v>
      </c>
      <c r="C78" s="242" t="s">
        <v>215</v>
      </c>
      <c r="D78" s="242" t="s">
        <v>480</v>
      </c>
      <c r="E78" s="242" t="s">
        <v>474</v>
      </c>
      <c r="F78" s="417">
        <v>46110.0</v>
      </c>
      <c r="G78" s="242">
        <v>116.3571</v>
      </c>
      <c r="H78" s="242">
        <v>10.59</v>
      </c>
      <c r="I78" s="242">
        <v>2.47</v>
      </c>
      <c r="J78" s="242">
        <v>12.05</v>
      </c>
      <c r="K78" s="242">
        <v>-0.27</v>
      </c>
      <c r="L78" s="242">
        <v>2.73</v>
      </c>
      <c r="M78" s="242">
        <v>7.72</v>
      </c>
      <c r="N78" s="242">
        <v>10.03</v>
      </c>
      <c r="O78" s="242">
        <v>10.47</v>
      </c>
      <c r="P78" s="242">
        <v>11.37</v>
      </c>
      <c r="Q78" s="242">
        <v>16.25</v>
      </c>
    </row>
    <row r="79">
      <c r="A79" s="242" t="s">
        <v>471</v>
      </c>
      <c r="B79" s="242" t="s">
        <v>482</v>
      </c>
      <c r="C79" s="242" t="s">
        <v>483</v>
      </c>
      <c r="E79" s="242" t="s">
        <v>474</v>
      </c>
      <c r="F79" s="417">
        <v>46108.0</v>
      </c>
      <c r="G79" s="242">
        <v>33.6982</v>
      </c>
      <c r="H79" s="242">
        <v>19.02</v>
      </c>
      <c r="I79" s="242">
        <v>-10.67</v>
      </c>
      <c r="J79" s="242">
        <v>-1.0</v>
      </c>
      <c r="K79" s="242">
        <v>-1.99</v>
      </c>
      <c r="L79" s="242">
        <v>-8.76</v>
      </c>
      <c r="M79" s="242">
        <v>-13.2</v>
      </c>
      <c r="N79" s="242">
        <v>-7.52</v>
      </c>
      <c r="O79" s="242">
        <v>19.02</v>
      </c>
      <c r="P79" s="242">
        <v>23.68</v>
      </c>
      <c r="Q79" s="242">
        <v>125.96</v>
      </c>
    </row>
    <row r="80">
      <c r="A80" s="242" t="s">
        <v>471</v>
      </c>
      <c r="B80" s="242" t="s">
        <v>482</v>
      </c>
      <c r="C80" s="242" t="s">
        <v>484</v>
      </c>
      <c r="E80" s="242" t="s">
        <v>474</v>
      </c>
      <c r="F80" s="417">
        <v>46108.0</v>
      </c>
      <c r="G80" s="242">
        <v>183.4672</v>
      </c>
      <c r="H80" s="242">
        <v>10.3</v>
      </c>
      <c r="I80" s="242">
        <v>-10.39</v>
      </c>
      <c r="J80" s="242">
        <v>-1.12</v>
      </c>
      <c r="K80" s="242">
        <v>-2.97</v>
      </c>
      <c r="L80" s="242">
        <v>-9.87</v>
      </c>
      <c r="M80" s="242">
        <v>-19.14</v>
      </c>
      <c r="N80" s="242">
        <v>-16.39</v>
      </c>
      <c r="O80" s="242">
        <v>10.3</v>
      </c>
      <c r="P80" s="242">
        <v>24.72</v>
      </c>
      <c r="Q80" s="242">
        <v>83.11</v>
      </c>
    </row>
    <row r="81">
      <c r="A81" s="242" t="s">
        <v>471</v>
      </c>
      <c r="B81" s="242" t="s">
        <v>482</v>
      </c>
      <c r="C81" s="242" t="s">
        <v>485</v>
      </c>
      <c r="E81" s="242" t="s">
        <v>474</v>
      </c>
      <c r="F81" s="417">
        <v>46107.0</v>
      </c>
      <c r="G81" s="242">
        <v>157.3036</v>
      </c>
      <c r="H81" s="242">
        <v>21.95</v>
      </c>
      <c r="I81" s="242">
        <v>-10.74</v>
      </c>
      <c r="J81" s="242">
        <v>-3.72</v>
      </c>
      <c r="K81" s="242">
        <v>-3.04</v>
      </c>
      <c r="L81" s="242">
        <v>-9.63</v>
      </c>
      <c r="M81" s="242">
        <v>-10.98</v>
      </c>
      <c r="N81" s="242">
        <v>-5.94</v>
      </c>
      <c r="O81" s="242">
        <v>22.44</v>
      </c>
      <c r="P81" s="242">
        <v>30.76</v>
      </c>
      <c r="Q81" s="242">
        <v>168.17</v>
      </c>
    </row>
    <row r="82">
      <c r="A82" s="242" t="s">
        <v>471</v>
      </c>
      <c r="B82" s="242" t="s">
        <v>482</v>
      </c>
      <c r="C82" s="242" t="s">
        <v>486</v>
      </c>
      <c r="E82" s="242" t="s">
        <v>474</v>
      </c>
      <c r="F82" s="417">
        <v>46108.0</v>
      </c>
      <c r="G82" s="242">
        <v>101.59</v>
      </c>
      <c r="H82" s="242">
        <v>20.71</v>
      </c>
      <c r="I82" s="242">
        <v>-12.2</v>
      </c>
      <c r="J82" s="242">
        <v>-0.97</v>
      </c>
      <c r="K82" s="242">
        <v>-2.78</v>
      </c>
      <c r="L82" s="242">
        <v>-10.04</v>
      </c>
      <c r="M82" s="242">
        <v>-14.31</v>
      </c>
      <c r="N82" s="242">
        <v>-5.9</v>
      </c>
      <c r="O82" s="242">
        <v>20.71</v>
      </c>
      <c r="P82" s="242">
        <v>29.35</v>
      </c>
      <c r="Q82" s="242">
        <v>140.58</v>
      </c>
    </row>
    <row r="83">
      <c r="A83" s="242" t="s">
        <v>471</v>
      </c>
      <c r="B83" s="242" t="s">
        <v>482</v>
      </c>
      <c r="C83" s="242" t="s">
        <v>487</v>
      </c>
      <c r="E83" s="242" t="s">
        <v>474</v>
      </c>
      <c r="F83" s="417">
        <v>46108.0</v>
      </c>
      <c r="G83" s="242">
        <v>174.2305</v>
      </c>
      <c r="H83" s="242">
        <v>18.46</v>
      </c>
      <c r="I83" s="242">
        <v>-11.87</v>
      </c>
      <c r="J83" s="242">
        <v>-1.0</v>
      </c>
      <c r="K83" s="242">
        <v>-2.79</v>
      </c>
      <c r="L83" s="242">
        <v>-9.86</v>
      </c>
      <c r="M83" s="242">
        <v>-14.87</v>
      </c>
      <c r="N83" s="242">
        <v>-6.9</v>
      </c>
      <c r="O83" s="242">
        <v>18.46</v>
      </c>
      <c r="P83" s="242">
        <v>23.35</v>
      </c>
      <c r="Q83" s="242">
        <v>128.21</v>
      </c>
    </row>
    <row r="84">
      <c r="A84" s="242" t="s">
        <v>471</v>
      </c>
      <c r="B84" s="242" t="s">
        <v>482</v>
      </c>
      <c r="C84" s="242" t="s">
        <v>488</v>
      </c>
      <c r="E84" s="242" t="s">
        <v>474</v>
      </c>
      <c r="F84" s="417">
        <v>46108.0</v>
      </c>
      <c r="G84" s="242">
        <v>68.7861</v>
      </c>
      <c r="H84" s="242">
        <v>8.02</v>
      </c>
      <c r="I84" s="242">
        <v>-13.99</v>
      </c>
      <c r="J84" s="242">
        <v>-1.27</v>
      </c>
      <c r="K84" s="242">
        <v>-4.04</v>
      </c>
      <c r="L84" s="242">
        <v>-12.47</v>
      </c>
      <c r="M84" s="242">
        <v>-15.37</v>
      </c>
      <c r="N84" s="242">
        <v>-8.27</v>
      </c>
      <c r="O84" s="242">
        <v>8.02</v>
      </c>
      <c r="P84" s="242">
        <v>16.14</v>
      </c>
      <c r="Q84" s="242">
        <v>126.52</v>
      </c>
    </row>
    <row r="85">
      <c r="A85" s="242" t="s">
        <v>471</v>
      </c>
      <c r="B85" s="242" t="s">
        <v>482</v>
      </c>
      <c r="C85" s="242" t="s">
        <v>489</v>
      </c>
      <c r="E85" s="242" t="s">
        <v>474</v>
      </c>
      <c r="F85" s="417">
        <v>46108.0</v>
      </c>
      <c r="G85" s="242">
        <v>86.6346</v>
      </c>
      <c r="H85" s="242">
        <v>-13.37</v>
      </c>
      <c r="I85" s="242">
        <v>-8.61</v>
      </c>
      <c r="J85" s="242">
        <v>-0.67</v>
      </c>
      <c r="K85" s="242">
        <v>-1.4</v>
      </c>
      <c r="L85" s="242">
        <v>-7.55</v>
      </c>
      <c r="M85" s="242" t="s">
        <v>474</v>
      </c>
      <c r="N85" s="242" t="s">
        <v>474</v>
      </c>
      <c r="O85" s="242" t="s">
        <v>474</v>
      </c>
      <c r="P85" s="242" t="s">
        <v>474</v>
      </c>
      <c r="Q85" s="242" t="s">
        <v>474</v>
      </c>
    </row>
    <row r="86">
      <c r="A86" s="242" t="s">
        <v>471</v>
      </c>
      <c r="B86" s="242" t="s">
        <v>482</v>
      </c>
      <c r="C86" s="242" t="s">
        <v>490</v>
      </c>
      <c r="E86" s="242" t="s">
        <v>474</v>
      </c>
      <c r="F86" s="417">
        <v>46108.0</v>
      </c>
      <c r="G86" s="242">
        <v>84.9656</v>
      </c>
      <c r="H86" s="242">
        <v>-15.03</v>
      </c>
      <c r="I86" s="242">
        <v>-11.25</v>
      </c>
      <c r="J86" s="242">
        <v>-0.57</v>
      </c>
      <c r="K86" s="242">
        <v>-2.07</v>
      </c>
      <c r="L86" s="242">
        <v>-9.71</v>
      </c>
      <c r="M86" s="242" t="s">
        <v>474</v>
      </c>
      <c r="N86" s="242" t="s">
        <v>474</v>
      </c>
      <c r="O86" s="242" t="s">
        <v>474</v>
      </c>
      <c r="P86" s="242" t="s">
        <v>474</v>
      </c>
      <c r="Q86" s="242" t="s">
        <v>474</v>
      </c>
    </row>
    <row r="87">
      <c r="A87" s="242" t="s">
        <v>471</v>
      </c>
      <c r="B87" s="242" t="s">
        <v>482</v>
      </c>
      <c r="C87" s="242" t="s">
        <v>491</v>
      </c>
      <c r="E87" s="242" t="s">
        <v>474</v>
      </c>
      <c r="F87" s="417">
        <v>46108.0</v>
      </c>
      <c r="G87" s="418">
        <v>1873.1088</v>
      </c>
      <c r="H87" s="242">
        <v>17.11</v>
      </c>
      <c r="I87" s="242">
        <v>-10.6</v>
      </c>
      <c r="J87" s="242">
        <v>-0.9</v>
      </c>
      <c r="K87" s="242">
        <v>-1.84</v>
      </c>
      <c r="L87" s="242">
        <v>-8.46</v>
      </c>
      <c r="M87" s="242">
        <v>-13.32</v>
      </c>
      <c r="N87" s="242">
        <v>-8.54</v>
      </c>
      <c r="O87" s="242">
        <v>17.11</v>
      </c>
      <c r="P87" s="242">
        <v>22.77</v>
      </c>
      <c r="Q87" s="242">
        <v>124.47</v>
      </c>
    </row>
    <row r="88">
      <c r="A88" s="242" t="s">
        <v>471</v>
      </c>
      <c r="B88" s="242" t="s">
        <v>482</v>
      </c>
      <c r="C88" s="242" t="s">
        <v>492</v>
      </c>
      <c r="E88" s="242" t="s">
        <v>474</v>
      </c>
      <c r="F88" s="417">
        <v>46108.0</v>
      </c>
      <c r="G88" s="242">
        <v>15.3891</v>
      </c>
      <c r="H88" s="242">
        <v>14.8</v>
      </c>
      <c r="I88" s="242">
        <v>-9.88</v>
      </c>
      <c r="J88" s="242">
        <v>-1.1</v>
      </c>
      <c r="K88" s="242">
        <v>-2.0</v>
      </c>
      <c r="L88" s="242">
        <v>-7.89</v>
      </c>
      <c r="M88" s="242">
        <v>-13.37</v>
      </c>
      <c r="N88" s="242">
        <v>-9.91</v>
      </c>
      <c r="O88" s="242">
        <v>14.8</v>
      </c>
      <c r="P88" s="242">
        <v>15.17</v>
      </c>
      <c r="Q88" s="242">
        <v>86.84</v>
      </c>
    </row>
    <row r="89">
      <c r="A89" s="242" t="s">
        <v>471</v>
      </c>
      <c r="B89" s="242" t="s">
        <v>482</v>
      </c>
      <c r="C89" s="242" t="s">
        <v>493</v>
      </c>
      <c r="E89" s="242" t="s">
        <v>474</v>
      </c>
      <c r="F89" s="417">
        <v>46108.0</v>
      </c>
      <c r="G89" s="242">
        <v>30.9058</v>
      </c>
      <c r="H89" s="242">
        <v>5.72</v>
      </c>
      <c r="I89" s="242">
        <v>-10.94</v>
      </c>
      <c r="J89" s="242">
        <v>-0.87</v>
      </c>
      <c r="K89" s="242">
        <v>-2.97</v>
      </c>
      <c r="L89" s="242">
        <v>-10.35</v>
      </c>
      <c r="M89" s="242">
        <v>-19.31</v>
      </c>
      <c r="N89" s="242">
        <v>-19.97</v>
      </c>
      <c r="O89" s="242">
        <v>5.72</v>
      </c>
      <c r="P89" s="242">
        <v>17.17</v>
      </c>
      <c r="Q89" s="242">
        <v>97.32</v>
      </c>
    </row>
    <row r="90">
      <c r="A90" s="242" t="s">
        <v>471</v>
      </c>
      <c r="B90" s="242" t="s">
        <v>482</v>
      </c>
      <c r="C90" s="242" t="s">
        <v>494</v>
      </c>
      <c r="E90" s="242" t="s">
        <v>474</v>
      </c>
      <c r="F90" s="417">
        <v>46108.0</v>
      </c>
      <c r="G90" s="242">
        <v>30.634</v>
      </c>
      <c r="H90" s="242">
        <v>14.47</v>
      </c>
      <c r="I90" s="242">
        <v>-5.24</v>
      </c>
      <c r="J90" s="242">
        <v>-2.06</v>
      </c>
      <c r="K90" s="242">
        <v>-2.73</v>
      </c>
      <c r="L90" s="242">
        <v>-2.9</v>
      </c>
      <c r="M90" s="242">
        <v>-8.91</v>
      </c>
      <c r="N90" s="242">
        <v>-8.23</v>
      </c>
      <c r="O90" s="242">
        <v>14.47</v>
      </c>
      <c r="P90" s="242">
        <v>8.96</v>
      </c>
      <c r="Q90" s="242">
        <v>92.01</v>
      </c>
    </row>
    <row r="91">
      <c r="A91" s="242" t="s">
        <v>471</v>
      </c>
      <c r="B91" s="242" t="s">
        <v>482</v>
      </c>
      <c r="C91" s="242" t="s">
        <v>495</v>
      </c>
      <c r="E91" s="242" t="s">
        <v>474</v>
      </c>
      <c r="F91" s="417">
        <v>46106.0</v>
      </c>
      <c r="G91" s="242">
        <v>197.8942</v>
      </c>
      <c r="H91" s="242">
        <v>6.13</v>
      </c>
      <c r="I91" s="242">
        <v>-7.03</v>
      </c>
      <c r="J91" s="242">
        <v>2.11</v>
      </c>
      <c r="K91" s="242">
        <v>0.15</v>
      </c>
      <c r="L91" s="242">
        <v>-6.95</v>
      </c>
      <c r="M91" s="242">
        <v>-19.49</v>
      </c>
      <c r="N91" s="242">
        <v>-16.89</v>
      </c>
      <c r="O91" s="242">
        <v>6.52</v>
      </c>
      <c r="P91" s="242">
        <v>3.22</v>
      </c>
      <c r="Q91" s="242">
        <v>94.99</v>
      </c>
    </row>
    <row r="92">
      <c r="A92" s="242" t="s">
        <v>471</v>
      </c>
      <c r="B92" s="242" t="s">
        <v>482</v>
      </c>
      <c r="C92" s="242" t="s">
        <v>496</v>
      </c>
      <c r="E92" s="242" t="s">
        <v>474</v>
      </c>
      <c r="F92" s="417">
        <v>46108.0</v>
      </c>
      <c r="G92" s="242">
        <v>39.5869</v>
      </c>
      <c r="H92" s="242">
        <v>-6.39</v>
      </c>
      <c r="I92" s="242">
        <v>-9.08</v>
      </c>
      <c r="J92" s="242">
        <v>-2.03</v>
      </c>
      <c r="K92" s="242">
        <v>-2.27</v>
      </c>
      <c r="L92" s="242">
        <v>-4.97</v>
      </c>
      <c r="M92" s="242">
        <v>-22.18</v>
      </c>
      <c r="N92" s="242">
        <v>-20.78</v>
      </c>
      <c r="O92" s="242">
        <v>-6.39</v>
      </c>
      <c r="P92" s="242">
        <v>-13.95</v>
      </c>
      <c r="Q92" s="242">
        <v>92.17</v>
      </c>
    </row>
    <row r="93">
      <c r="A93" s="242" t="s">
        <v>471</v>
      </c>
      <c r="B93" s="242" t="s">
        <v>482</v>
      </c>
      <c r="C93" s="242" t="s">
        <v>497</v>
      </c>
      <c r="E93" s="242" t="s">
        <v>474</v>
      </c>
      <c r="F93" s="417">
        <v>46108.0</v>
      </c>
      <c r="G93" s="242">
        <v>35.3284</v>
      </c>
      <c r="H93" s="242">
        <v>11.87</v>
      </c>
      <c r="I93" s="242">
        <v>-11.6</v>
      </c>
      <c r="J93" s="242">
        <v>-1.41</v>
      </c>
      <c r="K93" s="242">
        <v>-2.7</v>
      </c>
      <c r="L93" s="242">
        <v>-9.28</v>
      </c>
      <c r="M93" s="242">
        <v>-18.58</v>
      </c>
      <c r="N93" s="242">
        <v>-12.77</v>
      </c>
      <c r="O93" s="242">
        <v>11.87</v>
      </c>
      <c r="P93" s="242">
        <v>10.6</v>
      </c>
      <c r="Q93" s="242">
        <v>83.03</v>
      </c>
    </row>
    <row r="94">
      <c r="A94" s="242" t="s">
        <v>471</v>
      </c>
      <c r="B94" s="242" t="s">
        <v>482</v>
      </c>
      <c r="C94" s="242" t="s">
        <v>498</v>
      </c>
      <c r="E94" s="242" t="s">
        <v>474</v>
      </c>
      <c r="F94" s="419">
        <v>46108.0</v>
      </c>
      <c r="G94" s="242">
        <v>14.2978</v>
      </c>
      <c r="H94" s="242">
        <v>-6.02</v>
      </c>
      <c r="I94" s="242">
        <v>-9.11</v>
      </c>
      <c r="J94" s="242">
        <v>-2.08</v>
      </c>
      <c r="K94" s="242">
        <v>-5.75</v>
      </c>
      <c r="L94" s="242">
        <v>-5.07</v>
      </c>
      <c r="M94" s="242">
        <v>-22.28</v>
      </c>
      <c r="N94" s="242">
        <v>-20.53</v>
      </c>
      <c r="O94" s="242">
        <v>-6.02</v>
      </c>
      <c r="P94" s="242">
        <v>-14.15</v>
      </c>
      <c r="Q94" s="242">
        <v>94.07</v>
      </c>
    </row>
    <row r="95">
      <c r="A95" s="242" t="s">
        <v>471</v>
      </c>
      <c r="B95" s="242" t="s">
        <v>482</v>
      </c>
      <c r="C95" s="242" t="s">
        <v>499</v>
      </c>
      <c r="E95" s="242" t="s">
        <v>474</v>
      </c>
      <c r="F95" s="419">
        <v>46108.0</v>
      </c>
      <c r="G95" s="242">
        <v>16.5708</v>
      </c>
      <c r="H95" s="242">
        <v>12.67</v>
      </c>
      <c r="I95" s="242">
        <v>-11.35</v>
      </c>
      <c r="J95" s="242">
        <v>-1.37</v>
      </c>
      <c r="K95" s="242">
        <v>-2.64</v>
      </c>
      <c r="L95" s="242">
        <v>-9.07</v>
      </c>
      <c r="M95" s="242">
        <v>-16.55</v>
      </c>
      <c r="N95" s="242">
        <v>-11.01</v>
      </c>
      <c r="O95" s="242">
        <v>12.67</v>
      </c>
      <c r="P95" s="242">
        <v>12.71</v>
      </c>
      <c r="Q95" s="242">
        <v>81.57</v>
      </c>
    </row>
    <row r="96">
      <c r="A96" s="242" t="s">
        <v>471</v>
      </c>
      <c r="B96" s="242" t="s">
        <v>482</v>
      </c>
      <c r="C96" s="242" t="s">
        <v>500</v>
      </c>
      <c r="E96" s="242" t="s">
        <v>474</v>
      </c>
      <c r="F96" s="417">
        <v>46108.0</v>
      </c>
      <c r="G96" s="242">
        <v>190.8739</v>
      </c>
      <c r="H96" s="242">
        <v>11.98</v>
      </c>
      <c r="I96" s="242">
        <v>-11.58</v>
      </c>
      <c r="J96" s="242">
        <v>-1.05</v>
      </c>
      <c r="K96" s="242">
        <v>-2.29</v>
      </c>
      <c r="L96" s="242">
        <v>-9.66</v>
      </c>
      <c r="M96" s="242">
        <v>-17.55</v>
      </c>
      <c r="N96" s="242">
        <v>-13.77</v>
      </c>
      <c r="O96" s="242">
        <v>11.98</v>
      </c>
      <c r="P96" s="242">
        <v>10.57</v>
      </c>
      <c r="Q96" s="242">
        <v>77.31</v>
      </c>
    </row>
    <row r="97">
      <c r="A97" s="242" t="s">
        <v>471</v>
      </c>
      <c r="B97" s="242" t="s">
        <v>482</v>
      </c>
      <c r="C97" s="242" t="s">
        <v>501</v>
      </c>
      <c r="E97" s="242" t="s">
        <v>474</v>
      </c>
      <c r="F97" s="417">
        <v>46108.0</v>
      </c>
      <c r="G97" s="242">
        <v>469.93</v>
      </c>
      <c r="H97" s="242">
        <v>19.73</v>
      </c>
      <c r="I97" s="242">
        <v>-11.72</v>
      </c>
      <c r="J97" s="242">
        <v>-0.96</v>
      </c>
      <c r="K97" s="242">
        <v>-2.5</v>
      </c>
      <c r="L97" s="242">
        <v>-9.88</v>
      </c>
      <c r="M97" s="242">
        <v>-16.38</v>
      </c>
      <c r="N97" s="242">
        <v>-11.46</v>
      </c>
      <c r="O97" s="242">
        <v>19.73</v>
      </c>
      <c r="P97" s="242">
        <v>24.6</v>
      </c>
      <c r="Q97" s="242">
        <v>111.16</v>
      </c>
    </row>
    <row r="98">
      <c r="A98" s="242" t="s">
        <v>471</v>
      </c>
      <c r="B98" s="242" t="s">
        <v>482</v>
      </c>
      <c r="C98" s="242" t="s">
        <v>502</v>
      </c>
      <c r="E98" s="242" t="s">
        <v>474</v>
      </c>
      <c r="F98" s="417">
        <v>46108.0</v>
      </c>
      <c r="G98" s="242">
        <v>377.92</v>
      </c>
      <c r="H98" s="242">
        <v>17.77</v>
      </c>
      <c r="I98" s="242">
        <v>-12.69</v>
      </c>
      <c r="J98" s="242">
        <v>-0.96</v>
      </c>
      <c r="K98" s="242">
        <v>-3.08</v>
      </c>
      <c r="L98" s="242">
        <v>-10.8</v>
      </c>
      <c r="M98" s="242">
        <v>-16.95</v>
      </c>
      <c r="N98" s="242">
        <v>-12.09</v>
      </c>
      <c r="O98" s="242">
        <v>17.77</v>
      </c>
      <c r="P98" s="242">
        <v>23.07</v>
      </c>
      <c r="Q98" s="242">
        <v>116.09</v>
      </c>
    </row>
    <row r="99">
      <c r="A99" s="242" t="s">
        <v>471</v>
      </c>
      <c r="B99" s="242" t="s">
        <v>482</v>
      </c>
      <c r="C99" s="242" t="s">
        <v>503</v>
      </c>
      <c r="E99" s="242" t="s">
        <v>474</v>
      </c>
      <c r="F99" s="417">
        <v>46107.0</v>
      </c>
      <c r="G99" s="242">
        <v>287.3689</v>
      </c>
      <c r="H99" s="242">
        <v>17.11</v>
      </c>
      <c r="I99" s="242">
        <v>-12.33</v>
      </c>
      <c r="J99" s="242">
        <v>-3.88</v>
      </c>
      <c r="K99" s="242">
        <v>-3.86</v>
      </c>
      <c r="L99" s="242">
        <v>-11.44</v>
      </c>
      <c r="M99" s="242">
        <v>-14.53</v>
      </c>
      <c r="N99" s="242">
        <v>-10.46</v>
      </c>
      <c r="O99" s="242">
        <v>17.47</v>
      </c>
      <c r="P99" s="242">
        <v>23.17</v>
      </c>
      <c r="Q99" s="242">
        <v>125.5</v>
      </c>
    </row>
    <row r="100">
      <c r="A100" s="242" t="s">
        <v>471</v>
      </c>
      <c r="B100" s="242" t="s">
        <v>482</v>
      </c>
      <c r="C100" s="242" t="s">
        <v>504</v>
      </c>
      <c r="E100" s="242" t="s">
        <v>474</v>
      </c>
      <c r="F100" s="417">
        <v>46108.0</v>
      </c>
      <c r="G100" s="242">
        <v>329.0627</v>
      </c>
      <c r="H100" s="242">
        <v>27.37</v>
      </c>
      <c r="I100" s="242">
        <v>-10.71</v>
      </c>
      <c r="J100" s="242">
        <v>-0.76</v>
      </c>
      <c r="K100" s="242">
        <v>-1.89</v>
      </c>
      <c r="L100" s="242">
        <v>-9.0</v>
      </c>
      <c r="M100" s="242">
        <v>-8.87</v>
      </c>
      <c r="N100" s="242">
        <v>-1.45</v>
      </c>
      <c r="O100" s="242">
        <v>27.37</v>
      </c>
      <c r="P100" s="242">
        <v>45.55</v>
      </c>
      <c r="Q100" s="242">
        <v>164.53</v>
      </c>
    </row>
    <row r="101">
      <c r="A101" s="242" t="s">
        <v>471</v>
      </c>
      <c r="B101" s="242" t="s">
        <v>482</v>
      </c>
      <c r="C101" s="242" t="s">
        <v>505</v>
      </c>
      <c r="E101" s="242" t="s">
        <v>474</v>
      </c>
      <c r="F101" s="417">
        <v>46108.0</v>
      </c>
      <c r="G101" s="242">
        <v>136.1</v>
      </c>
      <c r="H101" s="242">
        <v>1.07</v>
      </c>
      <c r="I101" s="242">
        <v>-10.41</v>
      </c>
      <c r="J101" s="242">
        <v>-1.11</v>
      </c>
      <c r="K101" s="242">
        <v>-1.84</v>
      </c>
      <c r="L101" s="242">
        <v>-9.3</v>
      </c>
      <c r="M101" s="242">
        <v>-18.04</v>
      </c>
      <c r="N101" s="242">
        <v>-17.16</v>
      </c>
      <c r="O101" s="242">
        <v>1.07</v>
      </c>
      <c r="P101" s="242">
        <v>2.6</v>
      </c>
      <c r="Q101" s="242">
        <v>88.64</v>
      </c>
    </row>
    <row r="102">
      <c r="A102" s="242" t="s">
        <v>471</v>
      </c>
      <c r="B102" s="242" t="s">
        <v>482</v>
      </c>
      <c r="C102" s="242" t="s">
        <v>506</v>
      </c>
      <c r="E102" s="242" t="s">
        <v>474</v>
      </c>
      <c r="F102" s="417">
        <v>46108.0</v>
      </c>
      <c r="G102" s="242">
        <v>22.8087</v>
      </c>
      <c r="H102" s="242">
        <v>45.12</v>
      </c>
      <c r="I102" s="242">
        <v>-11.41</v>
      </c>
      <c r="J102" s="242">
        <v>-0.45</v>
      </c>
      <c r="K102" s="242">
        <v>-2.05</v>
      </c>
      <c r="L102" s="242">
        <v>-9.65</v>
      </c>
      <c r="M102" s="242">
        <v>-7.9</v>
      </c>
      <c r="N102" s="242">
        <v>2.78</v>
      </c>
      <c r="O102" s="242">
        <v>45.12</v>
      </c>
      <c r="P102" s="242">
        <v>70.39</v>
      </c>
      <c r="Q102" s="242">
        <v>187.4</v>
      </c>
    </row>
    <row r="103">
      <c r="A103" s="242" t="s">
        <v>471</v>
      </c>
      <c r="B103" s="242" t="s">
        <v>482</v>
      </c>
      <c r="C103" s="242" t="s">
        <v>507</v>
      </c>
      <c r="E103" s="242" t="s">
        <v>474</v>
      </c>
      <c r="F103" s="417">
        <v>46108.0</v>
      </c>
      <c r="G103" s="242">
        <v>38.512</v>
      </c>
      <c r="H103" s="242">
        <v>19.27</v>
      </c>
      <c r="I103" s="242">
        <v>-12.53</v>
      </c>
      <c r="J103" s="242">
        <v>-1.3</v>
      </c>
      <c r="K103" s="242">
        <v>-1.91</v>
      </c>
      <c r="L103" s="242">
        <v>-9.73</v>
      </c>
      <c r="M103" s="242">
        <v>-15.06</v>
      </c>
      <c r="N103" s="242">
        <v>-9.06</v>
      </c>
      <c r="O103" s="242">
        <v>19.27</v>
      </c>
      <c r="P103" s="242">
        <v>23.61</v>
      </c>
      <c r="Q103" s="242">
        <v>128.89</v>
      </c>
    </row>
    <row r="104">
      <c r="A104" s="242" t="s">
        <v>471</v>
      </c>
      <c r="B104" s="242" t="s">
        <v>482</v>
      </c>
      <c r="C104" s="242" t="s">
        <v>508</v>
      </c>
      <c r="E104" s="242" t="s">
        <v>474</v>
      </c>
      <c r="F104" s="417">
        <v>46110.0</v>
      </c>
      <c r="G104" s="242">
        <v>309.9236</v>
      </c>
      <c r="H104" s="242">
        <v>34.12</v>
      </c>
      <c r="I104" s="242">
        <v>-12.91</v>
      </c>
      <c r="J104" s="242">
        <v>-0.01</v>
      </c>
      <c r="K104" s="242">
        <v>-3.21</v>
      </c>
      <c r="L104" s="242">
        <v>-12.92</v>
      </c>
      <c r="M104" s="242">
        <v>-10.45</v>
      </c>
      <c r="N104" s="242">
        <v>-4.25</v>
      </c>
      <c r="O104" s="242">
        <v>22.52</v>
      </c>
      <c r="P104" s="242">
        <v>62.45</v>
      </c>
      <c r="Q104" s="242">
        <v>138.11</v>
      </c>
    </row>
    <row r="105">
      <c r="A105" s="242" t="s">
        <v>471</v>
      </c>
      <c r="B105" s="242" t="s">
        <v>482</v>
      </c>
      <c r="C105" s="242" t="s">
        <v>509</v>
      </c>
      <c r="E105" s="242" t="s">
        <v>474</v>
      </c>
      <c r="F105" s="417">
        <v>46110.0</v>
      </c>
      <c r="G105" s="242">
        <v>236.66</v>
      </c>
      <c r="H105" s="242">
        <v>14.67</v>
      </c>
      <c r="I105" s="242">
        <v>-11.41</v>
      </c>
      <c r="J105" s="242">
        <v>-0.01</v>
      </c>
      <c r="K105" s="242">
        <v>-1.75</v>
      </c>
      <c r="L105" s="242">
        <v>-11.42</v>
      </c>
      <c r="M105" s="242">
        <v>-14.28</v>
      </c>
      <c r="N105" s="242">
        <v>-11.1</v>
      </c>
      <c r="O105" s="242">
        <v>12.17</v>
      </c>
      <c r="P105" s="242">
        <v>24.82</v>
      </c>
      <c r="Q105" s="242">
        <v>130.94</v>
      </c>
    </row>
    <row r="106">
      <c r="A106" s="242" t="s">
        <v>471</v>
      </c>
      <c r="B106" s="242" t="s">
        <v>510</v>
      </c>
      <c r="C106" s="242" t="s">
        <v>309</v>
      </c>
      <c r="E106" s="242" t="s">
        <v>474</v>
      </c>
      <c r="F106" s="417">
        <v>46108.0</v>
      </c>
      <c r="G106" s="242">
        <v>10.8746</v>
      </c>
      <c r="H106" s="242">
        <v>7.58</v>
      </c>
      <c r="I106" s="242">
        <v>0.7</v>
      </c>
      <c r="J106" s="242">
        <v>0.03</v>
      </c>
      <c r="K106" s="242">
        <v>0.42</v>
      </c>
      <c r="L106" s="242">
        <v>0.81</v>
      </c>
      <c r="M106" s="242">
        <v>2.33</v>
      </c>
      <c r="N106" s="242">
        <v>4.99</v>
      </c>
      <c r="O106" s="242">
        <v>7.58</v>
      </c>
      <c r="P106" s="242">
        <v>13.17</v>
      </c>
      <c r="Q106" s="242">
        <v>34.6</v>
      </c>
    </row>
    <row r="107">
      <c r="A107" s="242" t="s">
        <v>471</v>
      </c>
      <c r="B107" s="242" t="s">
        <v>510</v>
      </c>
      <c r="C107" s="242" t="s">
        <v>308</v>
      </c>
      <c r="E107" s="242" t="s">
        <v>474</v>
      </c>
      <c r="F107" s="417">
        <v>46108.0</v>
      </c>
      <c r="G107" s="242">
        <v>11.3515</v>
      </c>
      <c r="H107" s="242">
        <v>8.16</v>
      </c>
      <c r="I107" s="242">
        <v>0.75</v>
      </c>
      <c r="J107" s="242">
        <v>0.03</v>
      </c>
      <c r="K107" s="242">
        <v>0.41</v>
      </c>
      <c r="L107" s="242">
        <v>0.83</v>
      </c>
      <c r="M107" s="242">
        <v>2.49</v>
      </c>
      <c r="N107" s="242">
        <v>5.16</v>
      </c>
      <c r="O107" s="242">
        <v>8.16</v>
      </c>
      <c r="P107" s="242">
        <v>12.61</v>
      </c>
      <c r="Q107" s="242">
        <v>31.67</v>
      </c>
    </row>
    <row r="108">
      <c r="A108" s="242" t="s">
        <v>471</v>
      </c>
      <c r="B108" s="242" t="s">
        <v>510</v>
      </c>
      <c r="C108" s="242" t="s">
        <v>310</v>
      </c>
      <c r="E108" s="242" t="s">
        <v>474</v>
      </c>
      <c r="F108" s="417">
        <v>46108.0</v>
      </c>
      <c r="G108" s="242">
        <v>10.938</v>
      </c>
      <c r="H108" s="242">
        <v>7.12</v>
      </c>
      <c r="I108" s="242">
        <v>0.62</v>
      </c>
      <c r="J108" s="242">
        <v>0.02</v>
      </c>
      <c r="K108" s="242">
        <v>0.35</v>
      </c>
      <c r="L108" s="242">
        <v>0.69</v>
      </c>
      <c r="M108" s="242">
        <v>2.18</v>
      </c>
      <c r="N108" s="242">
        <v>4.65</v>
      </c>
      <c r="O108" s="242">
        <v>7.12</v>
      </c>
      <c r="P108" s="242">
        <v>10.8</v>
      </c>
      <c r="Q108" s="242">
        <v>32.93</v>
      </c>
    </row>
    <row r="109">
      <c r="A109" s="242" t="s">
        <v>471</v>
      </c>
      <c r="B109" s="242" t="s">
        <v>510</v>
      </c>
      <c r="C109" s="242" t="s">
        <v>307</v>
      </c>
      <c r="E109" s="242" t="s">
        <v>474</v>
      </c>
      <c r="F109" s="417">
        <v>46108.0</v>
      </c>
      <c r="G109" s="242">
        <v>10.2079</v>
      </c>
      <c r="H109" s="242">
        <v>8.17</v>
      </c>
      <c r="I109" s="242">
        <v>0.75</v>
      </c>
      <c r="J109" s="242">
        <v>0.03</v>
      </c>
      <c r="K109" s="242">
        <v>0.37</v>
      </c>
      <c r="L109" s="242">
        <v>0.83</v>
      </c>
      <c r="M109" s="242">
        <v>2.46</v>
      </c>
      <c r="N109" s="242">
        <v>5.33</v>
      </c>
      <c r="O109" s="242">
        <v>8.17</v>
      </c>
      <c r="P109" s="242">
        <v>12.12</v>
      </c>
      <c r="Q109" s="242">
        <v>33.51</v>
      </c>
    </row>
    <row r="110">
      <c r="A110" s="242" t="s">
        <v>471</v>
      </c>
      <c r="B110" s="242" t="s">
        <v>510</v>
      </c>
      <c r="C110" s="242" t="s">
        <v>320</v>
      </c>
      <c r="E110" s="242" t="s">
        <v>474</v>
      </c>
      <c r="F110" s="417">
        <v>46108.0</v>
      </c>
      <c r="G110" s="242">
        <v>10.835</v>
      </c>
      <c r="H110" s="242">
        <v>7.05</v>
      </c>
      <c r="I110" s="242">
        <v>0.47</v>
      </c>
      <c r="J110" s="242">
        <v>-0.04</v>
      </c>
      <c r="K110" s="242">
        <v>0.26</v>
      </c>
      <c r="L110" s="242">
        <v>0.54</v>
      </c>
      <c r="M110" s="242">
        <v>2.02</v>
      </c>
      <c r="N110" s="242">
        <v>4.63</v>
      </c>
      <c r="O110" s="242">
        <v>7.05</v>
      </c>
      <c r="P110" s="242">
        <v>10.66</v>
      </c>
      <c r="Q110" s="242">
        <v>32.12</v>
      </c>
    </row>
    <row r="111">
      <c r="A111" s="242" t="s">
        <v>471</v>
      </c>
      <c r="B111" s="242" t="s">
        <v>510</v>
      </c>
      <c r="C111" s="242" t="s">
        <v>321</v>
      </c>
      <c r="E111" s="242" t="s">
        <v>474</v>
      </c>
      <c r="F111" s="417">
        <v>46108.0</v>
      </c>
      <c r="G111" s="242">
        <v>10.8152</v>
      </c>
      <c r="H111" s="242">
        <v>7.55</v>
      </c>
      <c r="I111" s="242">
        <v>0.6</v>
      </c>
      <c r="J111" s="242">
        <v>-0.05</v>
      </c>
      <c r="K111" s="242">
        <v>0.33</v>
      </c>
      <c r="L111" s="242">
        <v>0.68</v>
      </c>
      <c r="M111" s="242">
        <v>2.4</v>
      </c>
      <c r="N111" s="242">
        <v>5.42</v>
      </c>
      <c r="O111" s="242">
        <v>7.55</v>
      </c>
      <c r="P111" s="242">
        <v>12.96</v>
      </c>
      <c r="Q111" s="242">
        <v>36.1</v>
      </c>
    </row>
    <row r="112">
      <c r="A112" s="242" t="s">
        <v>471</v>
      </c>
      <c r="B112" s="242" t="s">
        <v>510</v>
      </c>
      <c r="C112" s="242" t="s">
        <v>332</v>
      </c>
      <c r="E112" s="242" t="s">
        <v>474</v>
      </c>
      <c r="F112" s="417">
        <v>46108.0</v>
      </c>
      <c r="G112" s="242">
        <v>142.1111</v>
      </c>
      <c r="H112" s="242">
        <v>5.16</v>
      </c>
      <c r="I112" s="242">
        <v>-1.61</v>
      </c>
      <c r="J112" s="242">
        <v>-0.47</v>
      </c>
      <c r="K112" s="242">
        <v>-0.8</v>
      </c>
      <c r="L112" s="242">
        <v>-1.53</v>
      </c>
      <c r="M112" s="242">
        <v>-0.41</v>
      </c>
      <c r="N112" s="242">
        <v>3.02</v>
      </c>
      <c r="O112" s="242">
        <v>5.16</v>
      </c>
      <c r="P112" s="242">
        <v>11.02</v>
      </c>
      <c r="Q112" s="242">
        <v>17.67</v>
      </c>
    </row>
    <row r="113">
      <c r="A113" s="242" t="s">
        <v>471</v>
      </c>
      <c r="B113" s="242" t="s">
        <v>510</v>
      </c>
      <c r="C113" s="242" t="s">
        <v>306</v>
      </c>
      <c r="E113" s="242" t="s">
        <v>474</v>
      </c>
      <c r="F113" s="417">
        <v>46108.0</v>
      </c>
      <c r="G113" s="242">
        <v>114.5913</v>
      </c>
      <c r="H113" s="242">
        <v>7.24</v>
      </c>
      <c r="I113" s="242">
        <v>0.64</v>
      </c>
      <c r="J113" s="242">
        <v>0.04</v>
      </c>
      <c r="K113" s="242">
        <v>0.37</v>
      </c>
      <c r="L113" s="242">
        <v>0.71</v>
      </c>
      <c r="M113" s="242">
        <v>2.29</v>
      </c>
      <c r="N113" s="242">
        <v>5.02</v>
      </c>
      <c r="O113" s="242">
        <v>7.24</v>
      </c>
      <c r="P113" s="242">
        <v>13.3</v>
      </c>
      <c r="Q113" s="242">
        <v>53.85</v>
      </c>
    </row>
    <row r="114">
      <c r="A114" s="242" t="s">
        <v>471</v>
      </c>
      <c r="B114" s="242" t="s">
        <v>511</v>
      </c>
      <c r="C114" s="242" t="s">
        <v>268</v>
      </c>
      <c r="E114" s="242" t="s">
        <v>474</v>
      </c>
      <c r="F114" s="417">
        <v>46110.0</v>
      </c>
      <c r="G114" s="242">
        <v>100.8735</v>
      </c>
      <c r="H114" s="242">
        <v>9.22</v>
      </c>
      <c r="I114" s="242">
        <v>10.22</v>
      </c>
      <c r="J114" s="242">
        <v>8.72</v>
      </c>
      <c r="K114" s="242">
        <v>9.21</v>
      </c>
      <c r="L114" s="242">
        <v>10.25</v>
      </c>
      <c r="M114" s="242">
        <v>8.94</v>
      </c>
      <c r="N114" s="242">
        <v>9.16</v>
      </c>
      <c r="O114" s="242">
        <v>9.22</v>
      </c>
      <c r="P114" s="242">
        <v>9.61</v>
      </c>
      <c r="Q114" s="242" t="s">
        <v>474</v>
      </c>
    </row>
    <row r="115">
      <c r="A115" s="242" t="s">
        <v>471</v>
      </c>
      <c r="B115" s="242" t="s">
        <v>511</v>
      </c>
      <c r="C115" s="242" t="s">
        <v>264</v>
      </c>
      <c r="E115" s="242" t="s">
        <v>474</v>
      </c>
      <c r="F115" s="417">
        <v>46110.0</v>
      </c>
      <c r="G115" s="242">
        <v>109.1252</v>
      </c>
      <c r="H115" s="242">
        <v>9.31</v>
      </c>
      <c r="I115" s="242">
        <v>0.92</v>
      </c>
      <c r="J115" s="242">
        <v>8.91</v>
      </c>
      <c r="K115" s="242">
        <v>2.19</v>
      </c>
      <c r="L115" s="242">
        <v>1.2</v>
      </c>
      <c r="M115" s="242">
        <v>5.63</v>
      </c>
      <c r="N115" s="242">
        <v>8.95</v>
      </c>
      <c r="O115" s="242">
        <v>9.25</v>
      </c>
      <c r="P115" s="242">
        <v>11.11</v>
      </c>
      <c r="Q115" s="242">
        <v>4.98</v>
      </c>
    </row>
    <row r="116">
      <c r="A116" s="242" t="s">
        <v>471</v>
      </c>
      <c r="B116" s="242" t="s">
        <v>512</v>
      </c>
      <c r="C116" s="242" t="s">
        <v>255</v>
      </c>
      <c r="E116" s="242" t="s">
        <v>513</v>
      </c>
      <c r="F116" s="417">
        <v>46108.0</v>
      </c>
      <c r="G116" s="242">
        <v>10.7884</v>
      </c>
      <c r="H116" s="242">
        <v>10.66</v>
      </c>
      <c r="I116" s="242">
        <v>9.85</v>
      </c>
      <c r="J116" s="242">
        <v>9.49</v>
      </c>
      <c r="K116" s="242">
        <v>10.1</v>
      </c>
      <c r="L116" s="242">
        <v>9.86</v>
      </c>
      <c r="M116" s="242">
        <v>10.24</v>
      </c>
      <c r="N116" s="242">
        <v>10.76</v>
      </c>
      <c r="O116" s="242">
        <v>10.66</v>
      </c>
      <c r="P116" s="242" t="s">
        <v>474</v>
      </c>
      <c r="Q116" s="242" t="s">
        <v>474</v>
      </c>
    </row>
    <row r="117">
      <c r="A117" s="242" t="s">
        <v>471</v>
      </c>
      <c r="B117" s="242" t="s">
        <v>512</v>
      </c>
      <c r="C117" s="242" t="s">
        <v>212</v>
      </c>
      <c r="E117" s="242" t="s">
        <v>474</v>
      </c>
      <c r="F117" s="417">
        <v>46108.0</v>
      </c>
      <c r="G117" s="242">
        <v>10.3434</v>
      </c>
      <c r="H117" s="242">
        <v>10.99</v>
      </c>
      <c r="I117" s="242">
        <v>9.71</v>
      </c>
      <c r="J117" s="242">
        <v>13.76</v>
      </c>
      <c r="K117" s="242">
        <v>9.76</v>
      </c>
      <c r="L117" s="242">
        <v>9.57</v>
      </c>
      <c r="M117" s="242">
        <v>10.02</v>
      </c>
      <c r="N117" s="242" t="s">
        <v>474</v>
      </c>
      <c r="O117" s="242" t="s">
        <v>474</v>
      </c>
      <c r="P117" s="242" t="s">
        <v>474</v>
      </c>
      <c r="Q117" s="242" t="s">
        <v>474</v>
      </c>
    </row>
    <row r="118">
      <c r="A118" s="242" t="s">
        <v>471</v>
      </c>
      <c r="B118" s="242" t="s">
        <v>512</v>
      </c>
      <c r="C118" s="242" t="s">
        <v>211</v>
      </c>
      <c r="E118" s="242" t="s">
        <v>474</v>
      </c>
      <c r="F118" s="417">
        <v>46108.0</v>
      </c>
      <c r="G118" s="242">
        <v>10.319</v>
      </c>
      <c r="H118" s="242">
        <v>10.88</v>
      </c>
      <c r="I118" s="242">
        <v>9.66</v>
      </c>
      <c r="J118" s="242">
        <v>13.8</v>
      </c>
      <c r="K118" s="242">
        <v>9.71</v>
      </c>
      <c r="L118" s="242">
        <v>9.52</v>
      </c>
      <c r="M118" s="242">
        <v>9.94</v>
      </c>
      <c r="N118" s="242" t="s">
        <v>474</v>
      </c>
      <c r="O118" s="242" t="s">
        <v>474</v>
      </c>
      <c r="P118" s="242" t="s">
        <v>474</v>
      </c>
      <c r="Q118" s="242" t="s">
        <v>474</v>
      </c>
    </row>
    <row r="119">
      <c r="A119" s="242" t="s">
        <v>471</v>
      </c>
      <c r="B119" s="242" t="s">
        <v>512</v>
      </c>
      <c r="C119" s="242" t="s">
        <v>213</v>
      </c>
      <c r="E119" s="242" t="s">
        <v>474</v>
      </c>
      <c r="F119" s="417">
        <v>46108.0</v>
      </c>
      <c r="G119" s="242">
        <v>10.1182</v>
      </c>
      <c r="H119" s="242">
        <v>9.59</v>
      </c>
      <c r="I119" s="242">
        <v>9.63</v>
      </c>
      <c r="J119" s="242">
        <v>13.72</v>
      </c>
      <c r="K119" s="242">
        <v>9.68</v>
      </c>
      <c r="L119" s="242">
        <v>9.49</v>
      </c>
      <c r="M119" s="242" t="s">
        <v>474</v>
      </c>
      <c r="N119" s="242" t="s">
        <v>474</v>
      </c>
      <c r="O119" s="242" t="s">
        <v>474</v>
      </c>
      <c r="P119" s="242" t="s">
        <v>474</v>
      </c>
      <c r="Q119" s="242" t="s">
        <v>474</v>
      </c>
    </row>
    <row r="120">
      <c r="A120" s="242" t="s">
        <v>471</v>
      </c>
      <c r="B120" s="242" t="s">
        <v>512</v>
      </c>
      <c r="C120" s="242" t="s">
        <v>365</v>
      </c>
      <c r="E120" s="242" t="s">
        <v>474</v>
      </c>
      <c r="F120" s="417">
        <v>46107.0</v>
      </c>
      <c r="G120" s="242">
        <v>107.2294</v>
      </c>
      <c r="H120" s="242">
        <v>9.59</v>
      </c>
      <c r="I120" s="242">
        <v>-12.29</v>
      </c>
      <c r="J120" s="242">
        <v>-40.48</v>
      </c>
      <c r="K120" s="242">
        <v>-6.71</v>
      </c>
      <c r="L120" s="242">
        <v>-9.29</v>
      </c>
      <c r="M120" s="242">
        <v>3.14</v>
      </c>
      <c r="N120" s="242">
        <v>9.48</v>
      </c>
      <c r="O120" s="242">
        <v>9.68</v>
      </c>
      <c r="P120" s="242">
        <v>12.23</v>
      </c>
      <c r="Q120" s="242" t="s">
        <v>474</v>
      </c>
    </row>
    <row r="121">
      <c r="A121" s="242" t="s">
        <v>471</v>
      </c>
      <c r="B121" s="242" t="s">
        <v>512</v>
      </c>
      <c r="C121" s="242" t="s">
        <v>233</v>
      </c>
      <c r="E121" s="242" t="s">
        <v>474</v>
      </c>
      <c r="F121" s="417">
        <v>46107.0</v>
      </c>
      <c r="G121" s="242">
        <v>107.7537</v>
      </c>
      <c r="H121" s="242">
        <v>10.52</v>
      </c>
      <c r="I121" s="242">
        <v>8.7</v>
      </c>
      <c r="J121" s="242">
        <v>10.4</v>
      </c>
      <c r="K121" s="242">
        <v>8.67</v>
      </c>
      <c r="L121" s="242">
        <v>8.86</v>
      </c>
      <c r="M121" s="242">
        <v>9.82</v>
      </c>
      <c r="N121" s="242">
        <v>10.66</v>
      </c>
      <c r="O121" s="242">
        <v>10.54</v>
      </c>
      <c r="P121" s="242" t="s">
        <v>474</v>
      </c>
      <c r="Q121" s="242" t="s">
        <v>474</v>
      </c>
    </row>
    <row r="122">
      <c r="A122" s="242" t="s">
        <v>471</v>
      </c>
      <c r="B122" s="242" t="s">
        <v>512</v>
      </c>
      <c r="C122" s="242" t="s">
        <v>304</v>
      </c>
      <c r="E122" s="242" t="s">
        <v>474</v>
      </c>
      <c r="F122" s="417">
        <v>46107.0</v>
      </c>
      <c r="G122" s="242">
        <v>105.9378</v>
      </c>
      <c r="H122" s="242">
        <v>10.03</v>
      </c>
      <c r="I122" s="242">
        <v>5.19</v>
      </c>
      <c r="J122" s="242">
        <v>0.99</v>
      </c>
      <c r="K122" s="242">
        <v>4.77</v>
      </c>
      <c r="L122" s="242">
        <v>5.81</v>
      </c>
      <c r="M122" s="242">
        <v>8.3</v>
      </c>
      <c r="N122" s="242">
        <v>10.05</v>
      </c>
      <c r="O122" s="242" t="s">
        <v>474</v>
      </c>
      <c r="P122" s="242" t="s">
        <v>474</v>
      </c>
      <c r="Q122" s="242" t="s">
        <v>474</v>
      </c>
    </row>
    <row r="123">
      <c r="A123" s="242" t="s">
        <v>471</v>
      </c>
      <c r="B123" s="242" t="s">
        <v>512</v>
      </c>
      <c r="C123" s="242" t="s">
        <v>265</v>
      </c>
      <c r="E123" s="242" t="s">
        <v>474</v>
      </c>
      <c r="F123" s="417">
        <v>46107.0</v>
      </c>
      <c r="G123" s="242">
        <v>106.1186</v>
      </c>
      <c r="H123" s="242">
        <v>10.34</v>
      </c>
      <c r="I123" s="242">
        <v>7.25</v>
      </c>
      <c r="J123" s="242">
        <v>8.83</v>
      </c>
      <c r="K123" s="242">
        <v>6.88</v>
      </c>
      <c r="L123" s="242">
        <v>7.69</v>
      </c>
      <c r="M123" s="242">
        <v>9.32</v>
      </c>
      <c r="N123" s="242">
        <v>10.38</v>
      </c>
      <c r="O123" s="242" t="s">
        <v>474</v>
      </c>
      <c r="P123" s="242" t="s">
        <v>474</v>
      </c>
      <c r="Q123" s="242" t="s">
        <v>474</v>
      </c>
    </row>
    <row r="124">
      <c r="A124" s="242" t="s">
        <v>471</v>
      </c>
      <c r="B124" s="242" t="s">
        <v>512</v>
      </c>
      <c r="C124" s="242" t="s">
        <v>348</v>
      </c>
      <c r="E124" s="242" t="s">
        <v>474</v>
      </c>
      <c r="F124" s="417">
        <v>46107.0</v>
      </c>
      <c r="G124" s="242">
        <v>100.3461</v>
      </c>
      <c r="H124" s="242">
        <v>6.32</v>
      </c>
      <c r="I124" s="242">
        <v>6.32</v>
      </c>
      <c r="J124" s="242">
        <v>-2.85</v>
      </c>
      <c r="K124" s="242">
        <v>5.35</v>
      </c>
      <c r="L124" s="242" t="s">
        <v>474</v>
      </c>
      <c r="M124" s="242" t="s">
        <v>474</v>
      </c>
      <c r="N124" s="242" t="s">
        <v>474</v>
      </c>
      <c r="O124" s="242" t="s">
        <v>474</v>
      </c>
      <c r="P124" s="242" t="s">
        <v>474</v>
      </c>
      <c r="Q124" s="242" t="s">
        <v>474</v>
      </c>
    </row>
    <row r="125">
      <c r="A125" s="242" t="s">
        <v>471</v>
      </c>
      <c r="B125" s="242" t="s">
        <v>512</v>
      </c>
      <c r="C125" s="242" t="s">
        <v>286</v>
      </c>
      <c r="E125" s="242" t="s">
        <v>474</v>
      </c>
      <c r="F125" s="417">
        <v>46107.0</v>
      </c>
      <c r="G125" s="242">
        <v>100.7144</v>
      </c>
      <c r="H125" s="242">
        <v>8.99</v>
      </c>
      <c r="I125" s="242">
        <v>9.24</v>
      </c>
      <c r="J125" s="242">
        <v>7.08</v>
      </c>
      <c r="K125" s="242">
        <v>8.97</v>
      </c>
      <c r="L125" s="242">
        <v>8.69</v>
      </c>
      <c r="M125" s="242" t="s">
        <v>474</v>
      </c>
      <c r="N125" s="242" t="s">
        <v>474</v>
      </c>
      <c r="O125" s="242" t="s">
        <v>474</v>
      </c>
      <c r="P125" s="242" t="s">
        <v>474</v>
      </c>
      <c r="Q125" s="242" t="s">
        <v>474</v>
      </c>
    </row>
    <row r="126">
      <c r="A126" s="242" t="s">
        <v>471</v>
      </c>
      <c r="B126" s="242" t="s">
        <v>512</v>
      </c>
      <c r="C126" s="242" t="s">
        <v>374</v>
      </c>
      <c r="E126" s="242" t="s">
        <v>474</v>
      </c>
      <c r="F126" s="417">
        <v>46108.0</v>
      </c>
      <c r="G126" s="242">
        <v>104.415</v>
      </c>
      <c r="H126" s="242">
        <v>5.84</v>
      </c>
      <c r="I126" s="242">
        <v>-21.88</v>
      </c>
      <c r="J126" s="242">
        <v>-180.16</v>
      </c>
      <c r="K126" s="242">
        <v>-18.46</v>
      </c>
      <c r="L126" s="242">
        <v>-18.75</v>
      </c>
      <c r="M126" s="242">
        <v>-3.64</v>
      </c>
      <c r="N126" s="242">
        <v>4.4</v>
      </c>
      <c r="O126" s="242">
        <v>5.84</v>
      </c>
      <c r="P126" s="242" t="s">
        <v>474</v>
      </c>
      <c r="Q126" s="242" t="s">
        <v>474</v>
      </c>
    </row>
    <row r="127">
      <c r="A127" s="242" t="s">
        <v>471</v>
      </c>
      <c r="B127" s="242" t="s">
        <v>512</v>
      </c>
      <c r="C127" s="242" t="s">
        <v>360</v>
      </c>
      <c r="E127" s="242" t="s">
        <v>474</v>
      </c>
      <c r="F127" s="417">
        <v>46108.0</v>
      </c>
      <c r="G127" s="242">
        <v>107.1984</v>
      </c>
      <c r="H127" s="242">
        <v>9.41</v>
      </c>
      <c r="I127" s="242">
        <v>2.57</v>
      </c>
      <c r="J127" s="242">
        <v>-18.07</v>
      </c>
      <c r="K127" s="242">
        <v>-0.32</v>
      </c>
      <c r="L127" s="242">
        <v>3.08</v>
      </c>
      <c r="M127" s="242">
        <v>8.34</v>
      </c>
      <c r="N127" s="242">
        <v>9.11</v>
      </c>
      <c r="O127" s="242">
        <v>9.41</v>
      </c>
      <c r="P127" s="242" t="s">
        <v>474</v>
      </c>
      <c r="Q127" s="242" t="s">
        <v>474</v>
      </c>
    </row>
    <row r="128">
      <c r="A128" s="242" t="s">
        <v>471</v>
      </c>
      <c r="B128" s="242" t="s">
        <v>512</v>
      </c>
      <c r="C128" s="242" t="s">
        <v>352</v>
      </c>
      <c r="E128" s="242" t="s">
        <v>474</v>
      </c>
      <c r="F128" s="417">
        <v>46108.0</v>
      </c>
      <c r="G128" s="242">
        <v>105.3495</v>
      </c>
      <c r="H128" s="242">
        <v>9.81</v>
      </c>
      <c r="I128" s="242">
        <v>4.57</v>
      </c>
      <c r="J128" s="242">
        <v>-5.48</v>
      </c>
      <c r="K128" s="242">
        <v>5.77</v>
      </c>
      <c r="L128" s="242">
        <v>5.16</v>
      </c>
      <c r="M128" s="242">
        <v>7.93</v>
      </c>
      <c r="N128" s="242">
        <v>9.81</v>
      </c>
      <c r="O128" s="242" t="s">
        <v>474</v>
      </c>
      <c r="P128" s="242" t="s">
        <v>474</v>
      </c>
      <c r="Q128" s="242" t="s">
        <v>474</v>
      </c>
    </row>
    <row r="129">
      <c r="A129" s="242" t="s">
        <v>471</v>
      </c>
      <c r="B129" s="242" t="s">
        <v>512</v>
      </c>
      <c r="C129" s="242" t="s">
        <v>357</v>
      </c>
      <c r="E129" s="242" t="s">
        <v>474</v>
      </c>
      <c r="F129" s="417">
        <v>46108.0</v>
      </c>
      <c r="G129" s="242">
        <v>104.4165</v>
      </c>
      <c r="H129" s="242">
        <v>9.77</v>
      </c>
      <c r="I129" s="242">
        <v>3.2</v>
      </c>
      <c r="J129" s="242">
        <v>-10.91</v>
      </c>
      <c r="K129" s="242">
        <v>5.18</v>
      </c>
      <c r="L129" s="242">
        <v>3.91</v>
      </c>
      <c r="M129" s="242">
        <v>7.37</v>
      </c>
      <c r="N129" s="242" t="s">
        <v>474</v>
      </c>
      <c r="O129" s="242" t="s">
        <v>474</v>
      </c>
      <c r="P129" s="242" t="s">
        <v>474</v>
      </c>
      <c r="Q129" s="242" t="s">
        <v>474</v>
      </c>
    </row>
    <row r="130">
      <c r="A130" s="242" t="s">
        <v>471</v>
      </c>
      <c r="B130" s="242" t="s">
        <v>512</v>
      </c>
      <c r="C130" s="242" t="s">
        <v>293</v>
      </c>
      <c r="E130" s="242" t="s">
        <v>474</v>
      </c>
      <c r="F130" s="417">
        <v>46108.0</v>
      </c>
      <c r="G130" s="242">
        <v>104.3733</v>
      </c>
      <c r="H130" s="242">
        <v>10.23</v>
      </c>
      <c r="I130" s="242">
        <v>7.24</v>
      </c>
      <c r="J130" s="242">
        <v>5.8</v>
      </c>
      <c r="K130" s="242">
        <v>7.74</v>
      </c>
      <c r="L130" s="242">
        <v>7.57</v>
      </c>
      <c r="M130" s="242">
        <v>8.97</v>
      </c>
      <c r="N130" s="242" t="s">
        <v>474</v>
      </c>
      <c r="O130" s="242" t="s">
        <v>474</v>
      </c>
      <c r="P130" s="242" t="s">
        <v>474</v>
      </c>
      <c r="Q130" s="242" t="s">
        <v>474</v>
      </c>
    </row>
    <row r="131">
      <c r="A131" s="242" t="s">
        <v>471</v>
      </c>
      <c r="B131" s="242" t="s">
        <v>512</v>
      </c>
      <c r="C131" s="242" t="s">
        <v>351</v>
      </c>
      <c r="E131" s="242" t="s">
        <v>474</v>
      </c>
      <c r="F131" s="417">
        <v>46098.0</v>
      </c>
      <c r="G131" s="242">
        <v>103.236</v>
      </c>
      <c r="H131" s="242">
        <v>9.93</v>
      </c>
      <c r="I131" s="242">
        <v>-2.51</v>
      </c>
      <c r="J131" s="242">
        <v>-4.96</v>
      </c>
      <c r="K131" s="242">
        <v>-3.43</v>
      </c>
      <c r="L131" s="242">
        <v>1.95</v>
      </c>
      <c r="M131" s="242">
        <v>7.4</v>
      </c>
      <c r="N131" s="242" t="s">
        <v>474</v>
      </c>
      <c r="O131" s="242" t="s">
        <v>474</v>
      </c>
      <c r="P131" s="242" t="s">
        <v>474</v>
      </c>
      <c r="Q131" s="242" t="s">
        <v>474</v>
      </c>
    </row>
    <row r="132">
      <c r="A132" s="242" t="s">
        <v>471</v>
      </c>
      <c r="B132" s="242" t="s">
        <v>512</v>
      </c>
      <c r="C132" s="242" t="s">
        <v>292</v>
      </c>
      <c r="E132" s="242" t="s">
        <v>474</v>
      </c>
      <c r="F132" s="417">
        <v>46105.0</v>
      </c>
      <c r="G132" s="242">
        <v>100.1138</v>
      </c>
      <c r="H132" s="242">
        <v>2.19</v>
      </c>
      <c r="I132" s="242">
        <v>2.19</v>
      </c>
      <c r="J132" s="242">
        <v>5.88</v>
      </c>
      <c r="K132" s="242">
        <v>9.67</v>
      </c>
      <c r="L132" s="242" t="s">
        <v>474</v>
      </c>
      <c r="M132" s="242" t="s">
        <v>474</v>
      </c>
      <c r="N132" s="242" t="s">
        <v>474</v>
      </c>
      <c r="O132" s="242" t="s">
        <v>474</v>
      </c>
      <c r="P132" s="242" t="s">
        <v>474</v>
      </c>
      <c r="Q132" s="242" t="s">
        <v>474</v>
      </c>
    </row>
    <row r="133">
      <c r="A133" s="242" t="s">
        <v>471</v>
      </c>
      <c r="B133" s="242" t="s">
        <v>512</v>
      </c>
      <c r="C133" s="242" t="s">
        <v>350</v>
      </c>
      <c r="E133" s="242" t="s">
        <v>474</v>
      </c>
      <c r="F133" s="419">
        <v>46090.0</v>
      </c>
      <c r="G133" s="242">
        <v>104.9579</v>
      </c>
      <c r="H133" s="242">
        <v>10.4</v>
      </c>
      <c r="I133" s="242">
        <v>7.98</v>
      </c>
      <c r="J133" s="242">
        <v>-4.09</v>
      </c>
      <c r="K133" s="242">
        <v>8.81</v>
      </c>
      <c r="L133" s="242">
        <v>9.47</v>
      </c>
      <c r="M133" s="242">
        <v>10.05</v>
      </c>
      <c r="N133" s="242" t="s">
        <v>474</v>
      </c>
      <c r="O133" s="242" t="s">
        <v>474</v>
      </c>
      <c r="P133" s="242" t="s">
        <v>474</v>
      </c>
      <c r="Q133" s="242" t="s">
        <v>474</v>
      </c>
    </row>
    <row r="134">
      <c r="A134" s="242" t="s">
        <v>471</v>
      </c>
      <c r="B134" s="242" t="s">
        <v>512</v>
      </c>
      <c r="C134" s="242" t="s">
        <v>214</v>
      </c>
      <c r="E134" s="242" t="s">
        <v>474</v>
      </c>
      <c r="F134" s="417">
        <v>46091.0</v>
      </c>
      <c r="G134" s="242">
        <v>106.2746</v>
      </c>
      <c r="H134" s="242">
        <v>10.22</v>
      </c>
      <c r="I134" s="242">
        <v>10.18</v>
      </c>
      <c r="J134" s="242">
        <v>13.18</v>
      </c>
      <c r="K134" s="242">
        <v>9.77</v>
      </c>
      <c r="L134" s="242">
        <v>9.89</v>
      </c>
      <c r="M134" s="242">
        <v>9.85</v>
      </c>
      <c r="N134" s="242">
        <v>10.1</v>
      </c>
      <c r="O134" s="242" t="s">
        <v>474</v>
      </c>
      <c r="P134" s="242" t="s">
        <v>474</v>
      </c>
      <c r="Q134" s="242" t="s">
        <v>474</v>
      </c>
    </row>
    <row r="135">
      <c r="A135" s="242" t="s">
        <v>471</v>
      </c>
      <c r="B135" s="242" t="s">
        <v>512</v>
      </c>
      <c r="C135" s="242" t="s">
        <v>234</v>
      </c>
      <c r="E135" s="242" t="s">
        <v>474</v>
      </c>
      <c r="F135" s="417">
        <v>46099.0</v>
      </c>
      <c r="G135" s="242">
        <v>104.2668</v>
      </c>
      <c r="H135" s="242">
        <v>10.74</v>
      </c>
      <c r="I135" s="242">
        <v>10.35</v>
      </c>
      <c r="J135" s="242">
        <v>10.29</v>
      </c>
      <c r="K135" s="242">
        <v>10.34</v>
      </c>
      <c r="L135" s="242">
        <v>10.39</v>
      </c>
      <c r="M135" s="242">
        <v>10.57</v>
      </c>
      <c r="N135" s="242" t="s">
        <v>474</v>
      </c>
      <c r="O135" s="242" t="s">
        <v>474</v>
      </c>
      <c r="P135" s="242" t="s">
        <v>474</v>
      </c>
      <c r="Q135" s="242" t="s">
        <v>474</v>
      </c>
    </row>
    <row r="136">
      <c r="A136" s="242" t="s">
        <v>471</v>
      </c>
      <c r="B136" s="242" t="s">
        <v>512</v>
      </c>
      <c r="C136" s="242" t="s">
        <v>207</v>
      </c>
      <c r="E136" s="242" t="s">
        <v>474</v>
      </c>
      <c r="F136" s="417">
        <v>46105.0</v>
      </c>
      <c r="G136" s="242">
        <v>112.7915</v>
      </c>
      <c r="H136" s="242">
        <v>16.55</v>
      </c>
      <c r="I136" s="242">
        <v>-32.03</v>
      </c>
      <c r="J136" s="242">
        <v>31.65</v>
      </c>
      <c r="K136" s="242">
        <v>9.17</v>
      </c>
      <c r="L136" s="242">
        <v>-23.81</v>
      </c>
      <c r="M136" s="242">
        <v>-3.74</v>
      </c>
      <c r="N136" s="242">
        <v>0.5</v>
      </c>
      <c r="O136" s="242">
        <v>2.32</v>
      </c>
      <c r="P136" s="242">
        <v>7.12</v>
      </c>
      <c r="Q136" s="242">
        <v>16.23</v>
      </c>
    </row>
    <row r="137">
      <c r="A137" s="242" t="s">
        <v>471</v>
      </c>
      <c r="B137" s="242" t="s">
        <v>512</v>
      </c>
      <c r="C137" s="242" t="s">
        <v>221</v>
      </c>
      <c r="E137" s="242" t="s">
        <v>474</v>
      </c>
      <c r="F137" s="417">
        <v>46106.0</v>
      </c>
      <c r="G137" s="242">
        <v>99.4155</v>
      </c>
      <c r="H137" s="242">
        <v>-3.44</v>
      </c>
      <c r="I137" s="242">
        <v>-7.32</v>
      </c>
      <c r="J137" s="242">
        <v>10.84</v>
      </c>
      <c r="K137" s="242">
        <v>-3.63</v>
      </c>
      <c r="L137" s="242">
        <v>-4.87</v>
      </c>
      <c r="M137" s="242" t="s">
        <v>474</v>
      </c>
      <c r="N137" s="242" t="s">
        <v>474</v>
      </c>
      <c r="O137" s="242" t="s">
        <v>474</v>
      </c>
      <c r="P137" s="242" t="s">
        <v>474</v>
      </c>
      <c r="Q137" s="242" t="s">
        <v>474</v>
      </c>
    </row>
    <row r="138">
      <c r="A138" s="242" t="s">
        <v>471</v>
      </c>
      <c r="B138" s="242" t="s">
        <v>512</v>
      </c>
      <c r="C138" s="242" t="s">
        <v>252</v>
      </c>
      <c r="D138" s="242" t="s">
        <v>475</v>
      </c>
      <c r="E138" s="242" t="s">
        <v>474</v>
      </c>
      <c r="F138" s="417">
        <v>46106.0</v>
      </c>
      <c r="G138" s="242">
        <v>108.5404</v>
      </c>
      <c r="H138" s="242">
        <v>9.41</v>
      </c>
      <c r="I138" s="242">
        <v>9.03</v>
      </c>
      <c r="J138" s="242">
        <v>9.56</v>
      </c>
      <c r="K138" s="242">
        <v>9.79</v>
      </c>
      <c r="L138" s="242">
        <v>8.87</v>
      </c>
      <c r="M138" s="242">
        <v>9.03</v>
      </c>
      <c r="N138" s="242">
        <v>9.64</v>
      </c>
      <c r="O138" s="242">
        <v>9.41</v>
      </c>
      <c r="P138" s="242" t="s">
        <v>474</v>
      </c>
      <c r="Q138" s="242" t="s">
        <v>474</v>
      </c>
    </row>
    <row r="139">
      <c r="A139" s="242" t="s">
        <v>471</v>
      </c>
      <c r="B139" s="242" t="s">
        <v>512</v>
      </c>
      <c r="C139" s="242" t="s">
        <v>288</v>
      </c>
      <c r="E139" s="242" t="s">
        <v>474</v>
      </c>
      <c r="F139" s="417">
        <v>46106.0</v>
      </c>
      <c r="G139" s="242">
        <v>100.2641</v>
      </c>
      <c r="H139" s="242">
        <v>1.55</v>
      </c>
      <c r="I139" s="242">
        <v>-1.98</v>
      </c>
      <c r="J139" s="242">
        <v>6.83</v>
      </c>
      <c r="K139" s="242">
        <v>1.5</v>
      </c>
      <c r="L139" s="242">
        <v>-0.66</v>
      </c>
      <c r="M139" s="242" t="s">
        <v>474</v>
      </c>
      <c r="N139" s="242" t="s">
        <v>474</v>
      </c>
      <c r="O139" s="242" t="s">
        <v>474</v>
      </c>
      <c r="P139" s="242" t="s">
        <v>474</v>
      </c>
      <c r="Q139" s="242" t="s">
        <v>474</v>
      </c>
    </row>
    <row r="140">
      <c r="A140" s="242" t="s">
        <v>471</v>
      </c>
      <c r="B140" s="242" t="s">
        <v>512</v>
      </c>
      <c r="C140" s="242" t="s">
        <v>296</v>
      </c>
      <c r="E140" s="242" t="s">
        <v>474</v>
      </c>
      <c r="F140" s="417">
        <v>46106.0</v>
      </c>
      <c r="G140" s="242">
        <v>87.0849</v>
      </c>
      <c r="H140" s="242">
        <v>-87.45</v>
      </c>
      <c r="I140" s="242">
        <v>5.86</v>
      </c>
      <c r="J140" s="242">
        <v>5.69</v>
      </c>
      <c r="K140" s="242">
        <v>5.42</v>
      </c>
      <c r="L140" s="242">
        <v>-81.94</v>
      </c>
      <c r="M140" s="242" t="s">
        <v>474</v>
      </c>
      <c r="N140" s="242" t="s">
        <v>474</v>
      </c>
      <c r="O140" s="242" t="s">
        <v>474</v>
      </c>
      <c r="P140" s="242" t="s">
        <v>474</v>
      </c>
      <c r="Q140" s="242" t="s">
        <v>474</v>
      </c>
    </row>
    <row r="141">
      <c r="A141" s="242" t="s">
        <v>471</v>
      </c>
      <c r="B141" s="242" t="s">
        <v>512</v>
      </c>
      <c r="C141" s="242" t="s">
        <v>253</v>
      </c>
      <c r="E141" s="242" t="s">
        <v>474</v>
      </c>
      <c r="F141" s="417">
        <v>46106.0</v>
      </c>
      <c r="G141" s="242">
        <v>108.2814</v>
      </c>
      <c r="H141" s="242">
        <v>8.95</v>
      </c>
      <c r="I141" s="242">
        <v>3.63</v>
      </c>
      <c r="J141" s="242">
        <v>9.53</v>
      </c>
      <c r="K141" s="242">
        <v>5.59</v>
      </c>
      <c r="L141" s="242">
        <v>4.56</v>
      </c>
      <c r="M141" s="242">
        <v>7.27</v>
      </c>
      <c r="N141" s="242">
        <v>9.1</v>
      </c>
      <c r="O141" s="242">
        <v>8.96</v>
      </c>
      <c r="P141" s="242" t="s">
        <v>474</v>
      </c>
      <c r="Q141" s="242" t="s">
        <v>474</v>
      </c>
    </row>
    <row r="142">
      <c r="A142" s="242" t="s">
        <v>471</v>
      </c>
      <c r="B142" s="242" t="s">
        <v>512</v>
      </c>
      <c r="C142" s="242" t="s">
        <v>208</v>
      </c>
      <c r="E142" s="242" t="s">
        <v>474</v>
      </c>
      <c r="F142" s="417">
        <v>46106.0</v>
      </c>
      <c r="G142" s="242">
        <v>102.5463</v>
      </c>
      <c r="H142" s="242">
        <v>5.28</v>
      </c>
      <c r="I142" s="242">
        <v>-25.6</v>
      </c>
      <c r="J142" s="242">
        <v>18.51</v>
      </c>
      <c r="K142" s="242">
        <v>-12.72</v>
      </c>
      <c r="L142" s="242">
        <v>-19.72</v>
      </c>
      <c r="M142" s="242">
        <v>-0.7</v>
      </c>
      <c r="N142" s="242" t="s">
        <v>474</v>
      </c>
      <c r="O142" s="242" t="s">
        <v>474</v>
      </c>
      <c r="P142" s="242" t="s">
        <v>474</v>
      </c>
      <c r="Q142" s="242" t="s">
        <v>474</v>
      </c>
    </row>
    <row r="143">
      <c r="A143" s="242" t="s">
        <v>471</v>
      </c>
      <c r="B143" s="242" t="s">
        <v>512</v>
      </c>
      <c r="C143" s="242" t="s">
        <v>216</v>
      </c>
      <c r="E143" s="242" t="s">
        <v>474</v>
      </c>
      <c r="F143" s="417">
        <v>46106.0</v>
      </c>
      <c r="G143" s="242">
        <v>101.3118</v>
      </c>
      <c r="H143" s="242">
        <v>3.55</v>
      </c>
      <c r="I143" s="242">
        <v>-23.06</v>
      </c>
      <c r="J143" s="242">
        <v>12.05</v>
      </c>
      <c r="K143" s="242">
        <v>-10.45</v>
      </c>
      <c r="L143" s="242">
        <v>-17.87</v>
      </c>
      <c r="M143" s="242">
        <v>-1.92</v>
      </c>
      <c r="N143" s="242" t="s">
        <v>474</v>
      </c>
      <c r="O143" s="242" t="s">
        <v>474</v>
      </c>
      <c r="P143" s="242" t="s">
        <v>474</v>
      </c>
      <c r="Q143" s="242" t="s">
        <v>474</v>
      </c>
    </row>
    <row r="144">
      <c r="A144" s="242" t="s">
        <v>471</v>
      </c>
      <c r="B144" s="242" t="s">
        <v>512</v>
      </c>
      <c r="C144" s="242" t="s">
        <v>217</v>
      </c>
      <c r="E144" s="242" t="s">
        <v>474</v>
      </c>
      <c r="F144" s="417">
        <v>46106.0</v>
      </c>
      <c r="G144" s="242">
        <v>97.6107</v>
      </c>
      <c r="H144" s="242">
        <v>-37.92</v>
      </c>
      <c r="I144" s="242">
        <v>-37.92</v>
      </c>
      <c r="J144" s="242">
        <v>11.72</v>
      </c>
      <c r="K144" s="242">
        <v>-20.52</v>
      </c>
      <c r="L144" s="242" t="s">
        <v>474</v>
      </c>
      <c r="M144" s="242" t="s">
        <v>474</v>
      </c>
      <c r="N144" s="242" t="s">
        <v>474</v>
      </c>
      <c r="O144" s="242" t="s">
        <v>474</v>
      </c>
      <c r="P144" s="242" t="s">
        <v>474</v>
      </c>
      <c r="Q144" s="242" t="s">
        <v>474</v>
      </c>
    </row>
    <row r="145">
      <c r="A145" s="242" t="s">
        <v>471</v>
      </c>
      <c r="B145" s="242" t="s">
        <v>512</v>
      </c>
      <c r="C145" s="242" t="s">
        <v>232</v>
      </c>
      <c r="E145" s="242" t="s">
        <v>474</v>
      </c>
      <c r="F145" s="417">
        <v>46106.0</v>
      </c>
      <c r="G145" s="242">
        <v>99.8524</v>
      </c>
      <c r="H145" s="242">
        <v>-3.37</v>
      </c>
      <c r="I145" s="242">
        <v>-3.37</v>
      </c>
      <c r="J145" s="242">
        <v>10.4</v>
      </c>
      <c r="K145" s="242">
        <v>0.82</v>
      </c>
      <c r="L145" s="242" t="s">
        <v>474</v>
      </c>
      <c r="M145" s="242" t="s">
        <v>474</v>
      </c>
      <c r="N145" s="242" t="s">
        <v>474</v>
      </c>
      <c r="O145" s="242" t="s">
        <v>474</v>
      </c>
      <c r="P145" s="242" t="s">
        <v>474</v>
      </c>
      <c r="Q145" s="242" t="s">
        <v>474</v>
      </c>
    </row>
    <row r="146">
      <c r="A146" s="242" t="s">
        <v>471</v>
      </c>
      <c r="B146" s="242" t="s">
        <v>512</v>
      </c>
      <c r="C146" s="242" t="s">
        <v>246</v>
      </c>
      <c r="E146" s="242" t="s">
        <v>474</v>
      </c>
      <c r="F146" s="417">
        <v>46099.0</v>
      </c>
      <c r="G146" s="242">
        <v>100.5144</v>
      </c>
      <c r="H146" s="242">
        <v>8.99</v>
      </c>
      <c r="I146" s="242">
        <v>9.88</v>
      </c>
      <c r="J146" s="242">
        <v>9.89</v>
      </c>
      <c r="K146" s="242">
        <v>9.88</v>
      </c>
      <c r="L146" s="242" t="s">
        <v>474</v>
      </c>
      <c r="M146" s="242" t="s">
        <v>474</v>
      </c>
      <c r="N146" s="242" t="s">
        <v>474</v>
      </c>
      <c r="O146" s="242" t="s">
        <v>474</v>
      </c>
      <c r="P146" s="242" t="s">
        <v>474</v>
      </c>
      <c r="Q146" s="242" t="s">
        <v>474</v>
      </c>
    </row>
    <row r="147">
      <c r="A147" s="242" t="s">
        <v>471</v>
      </c>
      <c r="B147" s="242" t="s">
        <v>512</v>
      </c>
      <c r="C147" s="242" t="s">
        <v>355</v>
      </c>
      <c r="E147" s="242" t="s">
        <v>474</v>
      </c>
      <c r="F147" s="417">
        <v>46108.0</v>
      </c>
      <c r="G147" s="242">
        <v>107.9442</v>
      </c>
      <c r="H147" s="242">
        <v>9.79</v>
      </c>
      <c r="I147" s="242">
        <v>3.84</v>
      </c>
      <c r="J147" s="242">
        <v>-8.14</v>
      </c>
      <c r="K147" s="242">
        <v>5.42</v>
      </c>
      <c r="L147" s="242">
        <v>4.47</v>
      </c>
      <c r="M147" s="242">
        <v>7.58</v>
      </c>
      <c r="N147" s="242">
        <v>9.67</v>
      </c>
      <c r="O147" s="242">
        <v>9.79</v>
      </c>
      <c r="P147" s="242">
        <v>11.61</v>
      </c>
      <c r="Q147" s="242" t="s">
        <v>474</v>
      </c>
    </row>
    <row r="148">
      <c r="A148" s="242" t="s">
        <v>471</v>
      </c>
      <c r="B148" s="242" t="s">
        <v>512</v>
      </c>
      <c r="C148" s="242" t="s">
        <v>291</v>
      </c>
      <c r="E148" s="242" t="s">
        <v>474</v>
      </c>
      <c r="F148" s="417">
        <v>46108.0</v>
      </c>
      <c r="G148" s="242">
        <v>105.0747</v>
      </c>
      <c r="H148" s="242">
        <v>10.12</v>
      </c>
      <c r="I148" s="242">
        <v>7.4</v>
      </c>
      <c r="J148" s="242">
        <v>5.99</v>
      </c>
      <c r="K148" s="242">
        <v>7.9</v>
      </c>
      <c r="L148" s="242">
        <v>7.73</v>
      </c>
      <c r="M148" s="242">
        <v>9.14</v>
      </c>
      <c r="N148" s="242">
        <v>10.29</v>
      </c>
      <c r="O148" s="242" t="s">
        <v>474</v>
      </c>
      <c r="P148" s="242" t="s">
        <v>474</v>
      </c>
      <c r="Q148" s="242" t="s">
        <v>474</v>
      </c>
    </row>
    <row r="149">
      <c r="A149" s="242" t="s">
        <v>471</v>
      </c>
      <c r="B149" s="242" t="s">
        <v>512</v>
      </c>
      <c r="C149" s="242" t="s">
        <v>287</v>
      </c>
      <c r="E149" s="242" t="s">
        <v>474</v>
      </c>
      <c r="F149" s="417">
        <v>46108.0</v>
      </c>
      <c r="G149" s="242">
        <v>100.3056</v>
      </c>
      <c r="H149" s="242">
        <v>6.97</v>
      </c>
      <c r="I149" s="242">
        <v>6.97</v>
      </c>
      <c r="J149" s="242">
        <v>6.94</v>
      </c>
      <c r="K149" s="242">
        <v>8.08</v>
      </c>
      <c r="L149" s="242" t="s">
        <v>474</v>
      </c>
      <c r="M149" s="242" t="s">
        <v>474</v>
      </c>
      <c r="N149" s="242" t="s">
        <v>474</v>
      </c>
      <c r="O149" s="242" t="s">
        <v>474</v>
      </c>
      <c r="P149" s="242" t="s">
        <v>474</v>
      </c>
      <c r="Q149" s="242" t="s">
        <v>474</v>
      </c>
    </row>
    <row r="150">
      <c r="A150" s="242" t="s">
        <v>471</v>
      </c>
      <c r="B150" s="242" t="s">
        <v>512</v>
      </c>
      <c r="C150" s="242" t="s">
        <v>210</v>
      </c>
      <c r="E150" s="242" t="s">
        <v>474</v>
      </c>
      <c r="F150" s="417">
        <v>46108.0</v>
      </c>
      <c r="G150" s="242">
        <v>100.0402</v>
      </c>
      <c r="H150" s="242">
        <v>14.67</v>
      </c>
      <c r="I150" s="242">
        <v>14.67</v>
      </c>
      <c r="J150" s="242">
        <v>14.67</v>
      </c>
      <c r="K150" s="242" t="s">
        <v>474</v>
      </c>
      <c r="L150" s="242" t="s">
        <v>474</v>
      </c>
      <c r="M150" s="242" t="s">
        <v>474</v>
      </c>
      <c r="N150" s="242" t="s">
        <v>474</v>
      </c>
      <c r="O150" s="242" t="s">
        <v>474</v>
      </c>
      <c r="P150" s="242" t="s">
        <v>474</v>
      </c>
      <c r="Q150" s="242" t="s">
        <v>474</v>
      </c>
    </row>
    <row r="151">
      <c r="A151" s="242" t="s">
        <v>471</v>
      </c>
      <c r="B151" s="242" t="s">
        <v>512</v>
      </c>
      <c r="C151" s="242" t="s">
        <v>319</v>
      </c>
      <c r="E151" s="242" t="s">
        <v>474</v>
      </c>
      <c r="F151" s="417">
        <v>46107.0</v>
      </c>
      <c r="G151" s="242">
        <v>10.0</v>
      </c>
      <c r="H151" s="242" t="s">
        <v>474</v>
      </c>
      <c r="I151" s="242" t="s">
        <v>474</v>
      </c>
      <c r="J151" s="242" t="s">
        <v>474</v>
      </c>
      <c r="K151" s="242" t="s">
        <v>474</v>
      </c>
      <c r="L151" s="242" t="s">
        <v>474</v>
      </c>
      <c r="M151" s="242" t="s">
        <v>474</v>
      </c>
      <c r="N151" s="242" t="s">
        <v>474</v>
      </c>
      <c r="O151" s="242" t="s">
        <v>474</v>
      </c>
      <c r="P151" s="242" t="s">
        <v>474</v>
      </c>
      <c r="Q151" s="242" t="s">
        <v>474</v>
      </c>
    </row>
    <row r="152">
      <c r="A152" s="242" t="s">
        <v>471</v>
      </c>
      <c r="B152" s="242" t="s">
        <v>512</v>
      </c>
      <c r="C152" s="242" t="s">
        <v>318</v>
      </c>
      <c r="E152" s="242" t="s">
        <v>474</v>
      </c>
      <c r="F152" s="417">
        <v>46108.0</v>
      </c>
      <c r="G152" s="242">
        <v>10.2417</v>
      </c>
      <c r="H152" s="242">
        <v>7.74</v>
      </c>
      <c r="I152" s="242" t="s">
        <v>474</v>
      </c>
      <c r="J152" s="242" t="s">
        <v>474</v>
      </c>
      <c r="K152" s="242" t="s">
        <v>474</v>
      </c>
      <c r="L152" s="242">
        <v>9.05</v>
      </c>
      <c r="M152" s="242">
        <v>9.8</v>
      </c>
      <c r="N152" s="242" t="s">
        <v>474</v>
      </c>
      <c r="O152" s="242" t="s">
        <v>474</v>
      </c>
      <c r="P152" s="242" t="s">
        <v>474</v>
      </c>
      <c r="Q152" s="242" t="s">
        <v>474</v>
      </c>
    </row>
    <row r="153">
      <c r="A153" s="242" t="s">
        <v>471</v>
      </c>
      <c r="B153" s="242" t="s">
        <v>512</v>
      </c>
      <c r="C153" s="242" t="s">
        <v>317</v>
      </c>
      <c r="E153" s="242" t="s">
        <v>474</v>
      </c>
      <c r="F153" s="417">
        <v>46108.0</v>
      </c>
      <c r="G153" s="242">
        <v>10.4374</v>
      </c>
      <c r="H153" s="242">
        <v>9.28</v>
      </c>
      <c r="I153" s="242" t="s">
        <v>474</v>
      </c>
      <c r="J153" s="242" t="s">
        <v>474</v>
      </c>
      <c r="K153" s="242" t="s">
        <v>474</v>
      </c>
      <c r="L153" s="242">
        <v>7.31</v>
      </c>
      <c r="M153" s="242">
        <v>11.45</v>
      </c>
      <c r="N153" s="242" t="s">
        <v>474</v>
      </c>
      <c r="O153" s="242" t="s">
        <v>474</v>
      </c>
      <c r="P153" s="242" t="s">
        <v>474</v>
      </c>
      <c r="Q153" s="242" t="s">
        <v>474</v>
      </c>
    </row>
    <row r="154">
      <c r="A154" s="242" t="s">
        <v>471</v>
      </c>
      <c r="B154" s="242" t="s">
        <v>512</v>
      </c>
      <c r="C154" s="242" t="s">
        <v>316</v>
      </c>
      <c r="E154" s="242" t="s">
        <v>474</v>
      </c>
      <c r="F154" s="417">
        <v>46108.0</v>
      </c>
      <c r="G154" s="242">
        <v>10.0144</v>
      </c>
      <c r="H154" s="242">
        <v>1.64</v>
      </c>
      <c r="I154" s="242" t="s">
        <v>474</v>
      </c>
      <c r="J154" s="242" t="s">
        <v>474</v>
      </c>
      <c r="K154" s="242" t="s">
        <v>474</v>
      </c>
      <c r="L154" s="242">
        <v>1.75</v>
      </c>
      <c r="M154" s="242" t="s">
        <v>474</v>
      </c>
      <c r="N154" s="242" t="s">
        <v>474</v>
      </c>
      <c r="O154" s="242" t="s">
        <v>474</v>
      </c>
      <c r="P154" s="242" t="s">
        <v>474</v>
      </c>
      <c r="Q154" s="242" t="s">
        <v>474</v>
      </c>
    </row>
    <row r="155">
      <c r="A155" s="242" t="s">
        <v>471</v>
      </c>
      <c r="B155" s="242" t="s">
        <v>512</v>
      </c>
      <c r="C155" s="242" t="s">
        <v>315</v>
      </c>
      <c r="E155" s="242" t="s">
        <v>474</v>
      </c>
      <c r="F155" s="417">
        <v>46108.0</v>
      </c>
      <c r="G155" s="242">
        <v>10.732</v>
      </c>
      <c r="H155" s="242">
        <v>9.54</v>
      </c>
      <c r="I155" s="242" t="s">
        <v>474</v>
      </c>
      <c r="J155" s="242" t="s">
        <v>474</v>
      </c>
      <c r="K155" s="242" t="s">
        <v>474</v>
      </c>
      <c r="L155" s="242">
        <v>8.25</v>
      </c>
      <c r="M155" s="242">
        <v>10.86</v>
      </c>
      <c r="N155" s="242">
        <v>10.74</v>
      </c>
      <c r="O155" s="242">
        <v>9.54</v>
      </c>
      <c r="P155" s="242">
        <v>11.78</v>
      </c>
      <c r="Q155" s="242" t="s">
        <v>474</v>
      </c>
    </row>
    <row r="156">
      <c r="A156" s="242" t="s">
        <v>471</v>
      </c>
      <c r="B156" s="242" t="s">
        <v>512</v>
      </c>
      <c r="C156" s="242" t="s">
        <v>314</v>
      </c>
      <c r="E156" s="242" t="s">
        <v>474</v>
      </c>
      <c r="F156" s="417">
        <v>46108.0</v>
      </c>
      <c r="G156" s="242">
        <v>10.061</v>
      </c>
      <c r="H156" s="242">
        <v>4.37</v>
      </c>
      <c r="I156" s="242" t="s">
        <v>474</v>
      </c>
      <c r="J156" s="242" t="s">
        <v>474</v>
      </c>
      <c r="K156" s="242" t="s">
        <v>474</v>
      </c>
      <c r="L156" s="242">
        <v>7.42</v>
      </c>
      <c r="M156" s="242" t="s">
        <v>474</v>
      </c>
      <c r="N156" s="242" t="s">
        <v>474</v>
      </c>
      <c r="O156" s="242" t="s">
        <v>474</v>
      </c>
      <c r="P156" s="242" t="s">
        <v>474</v>
      </c>
      <c r="Q156" s="242" t="s">
        <v>474</v>
      </c>
    </row>
    <row r="157">
      <c r="A157" s="242" t="s">
        <v>471</v>
      </c>
      <c r="B157" s="242" t="s">
        <v>512</v>
      </c>
      <c r="C157" s="242" t="s">
        <v>313</v>
      </c>
      <c r="E157" s="242" t="s">
        <v>474</v>
      </c>
      <c r="F157" s="417">
        <v>46107.0</v>
      </c>
      <c r="G157" s="242">
        <v>10.0</v>
      </c>
      <c r="H157" s="242" t="s">
        <v>474</v>
      </c>
      <c r="I157" s="242" t="s">
        <v>474</v>
      </c>
      <c r="J157" s="242" t="s">
        <v>474</v>
      </c>
      <c r="K157" s="242" t="s">
        <v>474</v>
      </c>
      <c r="L157" s="242" t="s">
        <v>474</v>
      </c>
      <c r="M157" s="242" t="s">
        <v>474</v>
      </c>
      <c r="N157" s="242" t="s">
        <v>474</v>
      </c>
      <c r="O157" s="242" t="s">
        <v>474</v>
      </c>
      <c r="P157" s="242" t="s">
        <v>474</v>
      </c>
      <c r="Q157" s="242" t="s">
        <v>474</v>
      </c>
    </row>
    <row r="158">
      <c r="A158" s="242" t="s">
        <v>471</v>
      </c>
      <c r="B158" s="242" t="s">
        <v>512</v>
      </c>
      <c r="C158" s="242" t="s">
        <v>228</v>
      </c>
      <c r="E158" s="242" t="s">
        <v>474</v>
      </c>
      <c r="F158" s="417">
        <v>46110.0</v>
      </c>
      <c r="G158" s="242">
        <v>107.9598</v>
      </c>
      <c r="H158" s="242">
        <v>10.68</v>
      </c>
      <c r="I158" s="242">
        <v>11.2</v>
      </c>
      <c r="J158" s="242">
        <v>10.59</v>
      </c>
      <c r="K158" s="242">
        <v>10.62</v>
      </c>
      <c r="L158" s="242">
        <v>11.16</v>
      </c>
      <c r="M158" s="242">
        <v>10.49</v>
      </c>
      <c r="N158" s="242">
        <v>10.74</v>
      </c>
      <c r="O158" s="242">
        <v>10.68</v>
      </c>
      <c r="P158" s="242" t="s">
        <v>474</v>
      </c>
      <c r="Q158" s="242" t="s">
        <v>474</v>
      </c>
    </row>
    <row r="159">
      <c r="A159" s="242" t="s">
        <v>471</v>
      </c>
      <c r="B159" s="242" t="s">
        <v>512</v>
      </c>
      <c r="C159" s="242" t="s">
        <v>218</v>
      </c>
      <c r="E159" s="242" t="s">
        <v>474</v>
      </c>
      <c r="F159" s="417">
        <v>46110.0</v>
      </c>
      <c r="G159" s="242">
        <v>108.8148</v>
      </c>
      <c r="H159" s="242">
        <v>14.7</v>
      </c>
      <c r="I159" s="242">
        <v>6.46</v>
      </c>
      <c r="J159" s="242">
        <v>11.35</v>
      </c>
      <c r="K159" s="242">
        <v>7.59</v>
      </c>
      <c r="L159" s="242">
        <v>6.58</v>
      </c>
      <c r="M159" s="242">
        <v>8.64</v>
      </c>
      <c r="N159" s="242">
        <v>10.12</v>
      </c>
      <c r="O159" s="242">
        <v>11.48</v>
      </c>
      <c r="P159" s="242">
        <v>11.36</v>
      </c>
      <c r="Q159" s="242" t="s">
        <v>474</v>
      </c>
    </row>
    <row r="160">
      <c r="A160" s="242" t="s">
        <v>471</v>
      </c>
      <c r="B160" s="242" t="s">
        <v>512</v>
      </c>
      <c r="C160" s="242" t="s">
        <v>267</v>
      </c>
      <c r="E160" s="242" t="s">
        <v>474</v>
      </c>
      <c r="F160" s="417">
        <v>46110.0</v>
      </c>
      <c r="G160" s="242">
        <v>108.1901</v>
      </c>
      <c r="H160" s="242">
        <v>10.76</v>
      </c>
      <c r="I160" s="242">
        <v>9.96</v>
      </c>
      <c r="J160" s="242">
        <v>8.8</v>
      </c>
      <c r="K160" s="242">
        <v>9.8</v>
      </c>
      <c r="L160" s="242">
        <v>9.96</v>
      </c>
      <c r="M160" s="242">
        <v>10.08</v>
      </c>
      <c r="N160" s="242">
        <v>10.5</v>
      </c>
      <c r="O160" s="242">
        <v>10.75</v>
      </c>
      <c r="P160" s="242">
        <v>9.52</v>
      </c>
      <c r="Q160" s="242" t="s">
        <v>474</v>
      </c>
    </row>
    <row r="161">
      <c r="A161" s="242" t="s">
        <v>471</v>
      </c>
      <c r="B161" s="242" t="s">
        <v>512</v>
      </c>
      <c r="C161" s="242" t="s">
        <v>222</v>
      </c>
      <c r="E161" s="242" t="s">
        <v>474</v>
      </c>
      <c r="F161" s="417">
        <v>46110.0</v>
      </c>
      <c r="G161" s="242">
        <v>103.9901</v>
      </c>
      <c r="H161" s="242">
        <v>6.69</v>
      </c>
      <c r="I161" s="242">
        <v>10.9</v>
      </c>
      <c r="J161" s="242">
        <v>10.8</v>
      </c>
      <c r="K161" s="242">
        <v>10.85</v>
      </c>
      <c r="L161" s="242">
        <v>10.9</v>
      </c>
      <c r="M161" s="242">
        <v>10.71</v>
      </c>
      <c r="N161" s="242">
        <v>4.37</v>
      </c>
      <c r="O161" s="242">
        <v>6.66</v>
      </c>
      <c r="P161" s="242" t="s">
        <v>474</v>
      </c>
      <c r="Q161" s="242" t="s">
        <v>474</v>
      </c>
    </row>
    <row r="162">
      <c r="A162" s="242" t="s">
        <v>471</v>
      </c>
      <c r="B162" s="242" t="s">
        <v>512</v>
      </c>
      <c r="C162" s="242" t="s">
        <v>219</v>
      </c>
      <c r="E162" s="242" t="s">
        <v>474</v>
      </c>
      <c r="F162" s="417">
        <v>46110.0</v>
      </c>
      <c r="G162" s="242">
        <v>106.7828</v>
      </c>
      <c r="H162" s="242">
        <v>9.86</v>
      </c>
      <c r="I162" s="242">
        <v>7.14</v>
      </c>
      <c r="J162" s="242">
        <v>11.28</v>
      </c>
      <c r="K162" s="242">
        <v>8.1</v>
      </c>
      <c r="L162" s="242">
        <v>7.23</v>
      </c>
      <c r="M162" s="242">
        <v>8.96</v>
      </c>
      <c r="N162" s="242">
        <v>10.26</v>
      </c>
      <c r="O162" s="242" t="s">
        <v>474</v>
      </c>
      <c r="P162" s="242" t="s">
        <v>474</v>
      </c>
      <c r="Q162" s="242" t="s">
        <v>474</v>
      </c>
    </row>
    <row r="163">
      <c r="A163" s="242" t="s">
        <v>471</v>
      </c>
      <c r="B163" s="242" t="s">
        <v>512</v>
      </c>
      <c r="C163" s="242" t="s">
        <v>261</v>
      </c>
      <c r="E163" s="242" t="s">
        <v>474</v>
      </c>
      <c r="F163" s="417">
        <v>46110.0</v>
      </c>
      <c r="G163" s="242">
        <v>107.3082</v>
      </c>
      <c r="H163" s="242">
        <v>9.69</v>
      </c>
      <c r="I163" s="242">
        <v>9.18</v>
      </c>
      <c r="J163" s="242">
        <v>9.16</v>
      </c>
      <c r="K163" s="242">
        <v>9.19</v>
      </c>
      <c r="L163" s="242">
        <v>9.18</v>
      </c>
      <c r="M163" s="242">
        <v>9.05</v>
      </c>
      <c r="N163" s="242">
        <v>9.49</v>
      </c>
      <c r="O163" s="242">
        <v>9.69</v>
      </c>
      <c r="P163" s="242">
        <v>-1.56</v>
      </c>
      <c r="Q163" s="242" t="s">
        <v>474</v>
      </c>
    </row>
    <row r="164">
      <c r="A164" s="242" t="s">
        <v>471</v>
      </c>
      <c r="B164" s="242" t="s">
        <v>512</v>
      </c>
      <c r="C164" s="242" t="s">
        <v>259</v>
      </c>
      <c r="D164" s="242"/>
      <c r="E164" s="242" t="s">
        <v>474</v>
      </c>
      <c r="F164" s="417">
        <v>46110.0</v>
      </c>
      <c r="G164" s="242">
        <v>107.4338</v>
      </c>
      <c r="H164" s="242">
        <v>9.83</v>
      </c>
      <c r="I164" s="242">
        <v>9.22</v>
      </c>
      <c r="J164" s="242">
        <v>9.2</v>
      </c>
      <c r="K164" s="242">
        <v>9.25</v>
      </c>
      <c r="L164" s="242">
        <v>9.22</v>
      </c>
      <c r="M164" s="242">
        <v>8.8</v>
      </c>
      <c r="N164" s="242">
        <v>9.44</v>
      </c>
      <c r="O164" s="242">
        <v>9.81</v>
      </c>
      <c r="P164" s="242">
        <v>7.12</v>
      </c>
      <c r="Q164" s="242" t="s">
        <v>474</v>
      </c>
    </row>
    <row r="165">
      <c r="A165" s="242" t="s">
        <v>471</v>
      </c>
      <c r="B165" s="242" t="s">
        <v>514</v>
      </c>
      <c r="C165" s="242" t="s">
        <v>80</v>
      </c>
      <c r="D165" s="242" t="s">
        <v>479</v>
      </c>
      <c r="E165" s="242" t="s">
        <v>474</v>
      </c>
      <c r="F165" s="417">
        <v>46108.0</v>
      </c>
      <c r="G165" s="242">
        <v>60.0652</v>
      </c>
      <c r="H165" s="242">
        <v>16.86</v>
      </c>
      <c r="I165" s="242">
        <v>1.9</v>
      </c>
      <c r="J165" s="242">
        <v>-23.98</v>
      </c>
      <c r="K165" s="242">
        <v>0.87</v>
      </c>
      <c r="L165" s="242">
        <v>2.8</v>
      </c>
      <c r="M165" s="242">
        <v>9.5</v>
      </c>
      <c r="N165" s="242">
        <v>10.43</v>
      </c>
      <c r="O165" s="242">
        <v>16.86</v>
      </c>
      <c r="P165" s="242">
        <v>31.05</v>
      </c>
      <c r="Q165" s="242">
        <v>27.48</v>
      </c>
    </row>
    <row r="166">
      <c r="A166" s="242" t="s">
        <v>471</v>
      </c>
      <c r="B166" s="242" t="s">
        <v>514</v>
      </c>
      <c r="C166" s="242" t="s">
        <v>139</v>
      </c>
      <c r="D166" s="242" t="s">
        <v>479</v>
      </c>
      <c r="E166" s="242">
        <v>23.0</v>
      </c>
      <c r="F166" s="417">
        <v>46108.0</v>
      </c>
      <c r="G166" s="242">
        <v>62.2911</v>
      </c>
      <c r="H166" s="242">
        <v>19.12</v>
      </c>
      <c r="I166" s="242">
        <v>5.61</v>
      </c>
      <c r="J166" s="242">
        <v>8.54</v>
      </c>
      <c r="K166" s="242">
        <v>6.26</v>
      </c>
      <c r="L166" s="242">
        <v>3.86</v>
      </c>
      <c r="M166" s="242">
        <v>8.07</v>
      </c>
      <c r="N166" s="242">
        <v>8.39</v>
      </c>
      <c r="O166" s="242">
        <v>19.12</v>
      </c>
      <c r="P166" s="242">
        <v>17.82</v>
      </c>
      <c r="Q166" s="242">
        <v>19.15</v>
      </c>
    </row>
    <row r="167">
      <c r="A167" s="242" t="s">
        <v>471</v>
      </c>
      <c r="B167" s="242" t="s">
        <v>514</v>
      </c>
      <c r="C167" s="242" t="s">
        <v>240</v>
      </c>
      <c r="D167" s="242" t="s">
        <v>481</v>
      </c>
      <c r="E167" s="242" t="s">
        <v>474</v>
      </c>
      <c r="F167" s="417">
        <v>46108.0</v>
      </c>
      <c r="G167" s="242">
        <v>125.1202</v>
      </c>
      <c r="H167" s="242">
        <v>10.18</v>
      </c>
      <c r="I167" s="242">
        <v>10.18</v>
      </c>
      <c r="J167" s="242">
        <v>10.11</v>
      </c>
      <c r="K167" s="242">
        <v>10.14</v>
      </c>
      <c r="L167" s="242">
        <v>10.18</v>
      </c>
      <c r="M167" s="242">
        <v>10.28</v>
      </c>
      <c r="N167" s="242">
        <v>10.21</v>
      </c>
      <c r="O167" s="242">
        <v>10.18</v>
      </c>
      <c r="P167" s="242">
        <v>3.11</v>
      </c>
      <c r="Q167" s="242">
        <v>10.32</v>
      </c>
    </row>
    <row r="168">
      <c r="A168" s="242" t="s">
        <v>471</v>
      </c>
      <c r="B168" s="242" t="s">
        <v>514</v>
      </c>
      <c r="C168" s="242" t="s">
        <v>298</v>
      </c>
      <c r="D168" s="242" t="s">
        <v>481</v>
      </c>
      <c r="E168" s="242" t="s">
        <v>474</v>
      </c>
      <c r="F168" s="417">
        <v>46108.0</v>
      </c>
      <c r="G168" s="242">
        <v>109.3839</v>
      </c>
      <c r="H168" s="242">
        <v>6.16</v>
      </c>
      <c r="I168" s="242">
        <v>4.56</v>
      </c>
      <c r="J168" s="242">
        <v>4.75</v>
      </c>
      <c r="K168" s="242">
        <v>4.76</v>
      </c>
      <c r="L168" s="242">
        <v>4.56</v>
      </c>
      <c r="M168" s="242">
        <v>5.41</v>
      </c>
      <c r="N168" s="242">
        <v>5.82</v>
      </c>
      <c r="O168" s="242">
        <v>6.16</v>
      </c>
      <c r="P168" s="242">
        <v>7.2</v>
      </c>
      <c r="Q168" s="242">
        <v>10.48</v>
      </c>
    </row>
    <row r="169">
      <c r="A169" s="242" t="s">
        <v>471</v>
      </c>
      <c r="B169" s="242" t="s">
        <v>514</v>
      </c>
      <c r="C169" s="242" t="s">
        <v>142</v>
      </c>
      <c r="D169" s="242" t="s">
        <v>473</v>
      </c>
      <c r="E169" s="242" t="s">
        <v>474</v>
      </c>
      <c r="F169" s="417">
        <v>46108.0</v>
      </c>
      <c r="G169" s="242">
        <v>109.1544</v>
      </c>
      <c r="H169" s="242">
        <v>12.01</v>
      </c>
      <c r="I169" s="242">
        <v>9.99</v>
      </c>
      <c r="J169" s="242">
        <v>9.31</v>
      </c>
      <c r="K169" s="242">
        <v>9.92</v>
      </c>
      <c r="L169" s="242">
        <v>9.98</v>
      </c>
      <c r="M169" s="242">
        <v>10.26</v>
      </c>
      <c r="N169" s="242">
        <v>10.59</v>
      </c>
      <c r="O169" s="242">
        <v>12.01</v>
      </c>
      <c r="P169" s="242">
        <v>11.78</v>
      </c>
      <c r="Q169" s="242" t="s">
        <v>474</v>
      </c>
    </row>
    <row r="170">
      <c r="A170" s="242" t="s">
        <v>471</v>
      </c>
      <c r="B170" s="242" t="s">
        <v>514</v>
      </c>
      <c r="C170" s="242" t="s">
        <v>367</v>
      </c>
      <c r="D170" s="242" t="s">
        <v>479</v>
      </c>
      <c r="E170" s="242" t="s">
        <v>474</v>
      </c>
      <c r="F170" s="417">
        <v>46108.0</v>
      </c>
      <c r="G170" s="242">
        <v>63.1947</v>
      </c>
      <c r="H170" s="242">
        <v>20.1</v>
      </c>
      <c r="I170" s="242">
        <v>-2.66</v>
      </c>
      <c r="J170" s="242">
        <v>-54.31</v>
      </c>
      <c r="K170" s="242">
        <v>0.21</v>
      </c>
      <c r="L170" s="242">
        <v>-1.94</v>
      </c>
      <c r="M170" s="242">
        <v>38.59</v>
      </c>
      <c r="N170" s="242">
        <v>24.77</v>
      </c>
      <c r="O170" s="242">
        <v>20.1</v>
      </c>
      <c r="P170" s="242">
        <v>19.05</v>
      </c>
      <c r="Q170" s="242">
        <v>20.98</v>
      </c>
    </row>
    <row r="171">
      <c r="A171" s="242" t="s">
        <v>471</v>
      </c>
      <c r="B171" s="242" t="s">
        <v>514</v>
      </c>
      <c r="C171" s="242" t="s">
        <v>227</v>
      </c>
      <c r="D171" s="242" t="s">
        <v>479</v>
      </c>
      <c r="E171" s="242" t="s">
        <v>474</v>
      </c>
      <c r="F171" s="417">
        <v>46110.0</v>
      </c>
      <c r="G171" s="242">
        <v>91.7144</v>
      </c>
      <c r="H171" s="242">
        <v>9.46</v>
      </c>
      <c r="I171" s="242">
        <v>1.79</v>
      </c>
      <c r="J171" s="242">
        <v>10.59</v>
      </c>
      <c r="K171" s="242">
        <v>0.59</v>
      </c>
      <c r="L171" s="242">
        <v>2.05</v>
      </c>
      <c r="M171" s="242">
        <v>7.38</v>
      </c>
      <c r="N171" s="242">
        <v>9.33</v>
      </c>
      <c r="O171" s="242">
        <v>9.41</v>
      </c>
      <c r="P171" s="242">
        <v>10.64</v>
      </c>
      <c r="Q171" s="242">
        <v>25.79</v>
      </c>
    </row>
    <row r="172">
      <c r="A172" s="242" t="s">
        <v>471</v>
      </c>
      <c r="B172" s="242" t="s">
        <v>515</v>
      </c>
      <c r="C172" s="242" t="s">
        <v>337</v>
      </c>
      <c r="E172" s="242" t="s">
        <v>474</v>
      </c>
      <c r="F172" s="417">
        <v>46108.0</v>
      </c>
      <c r="G172" s="242">
        <v>198.6499</v>
      </c>
      <c r="H172" s="242">
        <v>6.99</v>
      </c>
      <c r="I172" s="242">
        <v>-7.82</v>
      </c>
      <c r="J172" s="242">
        <v>-0.82</v>
      </c>
      <c r="K172" s="242">
        <v>-1.8</v>
      </c>
      <c r="L172" s="242">
        <v>-6.66</v>
      </c>
      <c r="M172" s="242">
        <v>-11.81</v>
      </c>
      <c r="N172" s="242">
        <v>-8.45</v>
      </c>
      <c r="O172" s="242">
        <v>6.99</v>
      </c>
      <c r="P172" s="242">
        <v>7.38</v>
      </c>
      <c r="Q172" s="242">
        <v>72.72</v>
      </c>
    </row>
    <row r="173">
      <c r="A173" s="242" t="s">
        <v>471</v>
      </c>
      <c r="B173" s="242" t="s">
        <v>515</v>
      </c>
      <c r="C173" s="242" t="s">
        <v>338</v>
      </c>
      <c r="E173" s="242" t="s">
        <v>474</v>
      </c>
      <c r="F173" s="417">
        <v>46108.0</v>
      </c>
      <c r="G173" s="242">
        <v>39.19</v>
      </c>
      <c r="H173" s="242">
        <v>17.15</v>
      </c>
      <c r="I173" s="242">
        <v>-8.47</v>
      </c>
      <c r="J173" s="242">
        <v>-0.88</v>
      </c>
      <c r="K173" s="242">
        <v>-1.03</v>
      </c>
      <c r="L173" s="242">
        <v>-6.41</v>
      </c>
      <c r="M173" s="242">
        <v>-9.65</v>
      </c>
      <c r="N173" s="242">
        <v>-3.42</v>
      </c>
      <c r="O173" s="242">
        <v>17.15</v>
      </c>
      <c r="P173" s="242">
        <v>20.49</v>
      </c>
      <c r="Q173" s="242">
        <v>93.72</v>
      </c>
    </row>
    <row r="174">
      <c r="A174" s="242" t="s">
        <v>471</v>
      </c>
      <c r="B174" s="242" t="s">
        <v>515</v>
      </c>
      <c r="C174" s="242" t="s">
        <v>329</v>
      </c>
      <c r="E174" s="242" t="s">
        <v>474</v>
      </c>
      <c r="F174" s="417">
        <v>46108.0</v>
      </c>
      <c r="G174" s="242">
        <v>28.59</v>
      </c>
      <c r="H174" s="242">
        <v>20.13</v>
      </c>
      <c r="I174" s="242">
        <v>-9.5</v>
      </c>
      <c r="J174" s="242">
        <v>-0.28</v>
      </c>
      <c r="K174" s="242">
        <v>-1.89</v>
      </c>
      <c r="L174" s="242">
        <v>-7.89</v>
      </c>
      <c r="M174" s="242">
        <v>-7.89</v>
      </c>
      <c r="N174" s="242">
        <v>-1.65</v>
      </c>
      <c r="O174" s="242">
        <v>20.13</v>
      </c>
      <c r="P174" s="242">
        <v>32.46</v>
      </c>
      <c r="Q174" s="242">
        <v>104.26</v>
      </c>
    </row>
    <row r="175">
      <c r="A175" s="242" t="s">
        <v>471</v>
      </c>
      <c r="B175" s="242" t="s">
        <v>515</v>
      </c>
      <c r="C175" s="242" t="s">
        <v>335</v>
      </c>
      <c r="E175" s="242" t="s">
        <v>474</v>
      </c>
      <c r="F175" s="417">
        <v>46108.0</v>
      </c>
      <c r="G175" s="242">
        <v>399.12</v>
      </c>
      <c r="H175" s="242">
        <v>21.41</v>
      </c>
      <c r="I175" s="242">
        <v>-8.42</v>
      </c>
      <c r="J175" s="242">
        <v>-0.65</v>
      </c>
      <c r="K175" s="242">
        <v>-2.13</v>
      </c>
      <c r="L175" s="242">
        <v>-7.13</v>
      </c>
      <c r="M175" s="242">
        <v>-10.27</v>
      </c>
      <c r="N175" s="242">
        <v>-5.14</v>
      </c>
      <c r="O175" s="242">
        <v>21.41</v>
      </c>
      <c r="P175" s="242">
        <v>26.01</v>
      </c>
      <c r="Q175" s="242">
        <v>97.6</v>
      </c>
    </row>
    <row r="176">
      <c r="A176" s="242" t="s">
        <v>471</v>
      </c>
      <c r="B176" s="242" t="s">
        <v>516</v>
      </c>
      <c r="C176" s="242" t="s">
        <v>333</v>
      </c>
      <c r="E176" s="242" t="s">
        <v>474</v>
      </c>
      <c r="F176" s="417">
        <v>46108.0</v>
      </c>
      <c r="G176" s="242">
        <v>9.9201</v>
      </c>
      <c r="H176" s="242">
        <v>-0.8</v>
      </c>
      <c r="I176" s="242">
        <v>-5.57</v>
      </c>
      <c r="J176" s="242">
        <v>-0.58</v>
      </c>
      <c r="K176" s="242">
        <v>-1.28</v>
      </c>
      <c r="L176" s="242">
        <v>-4.08</v>
      </c>
      <c r="M176" s="242">
        <v>-5.58</v>
      </c>
      <c r="N176" s="242">
        <v>-2.05</v>
      </c>
      <c r="O176" s="242" t="s">
        <v>474</v>
      </c>
      <c r="P176" s="242" t="s">
        <v>474</v>
      </c>
      <c r="Q176" s="242" t="s">
        <v>474</v>
      </c>
    </row>
    <row r="177">
      <c r="A177" s="242" t="s">
        <v>471</v>
      </c>
      <c r="B177" s="242" t="s">
        <v>516</v>
      </c>
      <c r="C177" s="242" t="s">
        <v>349</v>
      </c>
      <c r="E177" s="242" t="s">
        <v>474</v>
      </c>
      <c r="F177" s="417">
        <v>46107.0</v>
      </c>
      <c r="G177" s="242">
        <v>114.4666</v>
      </c>
      <c r="H177" s="242">
        <v>14.16</v>
      </c>
      <c r="I177" s="242">
        <v>-9.78</v>
      </c>
      <c r="J177" s="242">
        <v>-3.24</v>
      </c>
      <c r="K177" s="242">
        <v>-2.93</v>
      </c>
      <c r="L177" s="242">
        <v>-8.87</v>
      </c>
      <c r="M177" s="242">
        <v>-11.27</v>
      </c>
      <c r="N177" s="242">
        <v>-6.78</v>
      </c>
      <c r="O177" s="242">
        <v>14.47</v>
      </c>
      <c r="P177" s="242">
        <v>19.07</v>
      </c>
      <c r="Q177" s="242">
        <v>131.48</v>
      </c>
    </row>
    <row r="178">
      <c r="A178" s="242" t="s">
        <v>471</v>
      </c>
      <c r="B178" s="242" t="s">
        <v>516</v>
      </c>
      <c r="C178" s="242" t="s">
        <v>344</v>
      </c>
      <c r="E178" s="242" t="s">
        <v>474</v>
      </c>
      <c r="F178" s="417">
        <v>46108.0</v>
      </c>
      <c r="G178" s="242">
        <v>70.7142</v>
      </c>
      <c r="H178" s="242">
        <v>14.11</v>
      </c>
      <c r="I178" s="242">
        <v>-10.45</v>
      </c>
      <c r="J178" s="242">
        <v>-1.24</v>
      </c>
      <c r="K178" s="242">
        <v>-2.7</v>
      </c>
      <c r="L178" s="242">
        <v>-8.67</v>
      </c>
      <c r="M178" s="242">
        <v>-10.13</v>
      </c>
      <c r="N178" s="242">
        <v>-7.19</v>
      </c>
      <c r="O178" s="242">
        <v>14.11</v>
      </c>
      <c r="P178" s="242">
        <v>20.42</v>
      </c>
      <c r="Q178" s="242">
        <v>110.32</v>
      </c>
    </row>
    <row r="179">
      <c r="A179" s="242" t="s">
        <v>471</v>
      </c>
      <c r="B179" s="242" t="s">
        <v>516</v>
      </c>
      <c r="C179" s="242" t="s">
        <v>323</v>
      </c>
      <c r="E179" s="242" t="s">
        <v>474</v>
      </c>
      <c r="F179" s="417">
        <v>46108.0</v>
      </c>
      <c r="G179" s="242">
        <v>148.2347</v>
      </c>
      <c r="H179" s="242">
        <v>48.6</v>
      </c>
      <c r="I179" s="242">
        <v>0.23</v>
      </c>
      <c r="J179" s="242">
        <v>-0.1</v>
      </c>
      <c r="K179" s="242">
        <v>0.12</v>
      </c>
      <c r="L179" s="242">
        <v>0.29</v>
      </c>
      <c r="M179" s="242">
        <v>2.28</v>
      </c>
      <c r="N179" s="242">
        <v>5.53</v>
      </c>
      <c r="O179" s="242">
        <v>8.56</v>
      </c>
      <c r="P179" s="242">
        <v>12.62</v>
      </c>
      <c r="Q179" s="242">
        <v>35.0</v>
      </c>
    </row>
    <row r="180">
      <c r="A180" s="242" t="s">
        <v>471</v>
      </c>
      <c r="B180" s="242" t="s">
        <v>516</v>
      </c>
      <c r="C180" s="242" t="s">
        <v>341</v>
      </c>
      <c r="E180" s="242" t="s">
        <v>474</v>
      </c>
      <c r="F180" s="417">
        <v>46108.0</v>
      </c>
      <c r="G180" s="242">
        <v>95.5757</v>
      </c>
      <c r="H180" s="242">
        <v>-6.97</v>
      </c>
      <c r="I180" s="242">
        <v>-12.72</v>
      </c>
      <c r="J180" s="242">
        <v>-1.01</v>
      </c>
      <c r="K180" s="242">
        <v>-5.18</v>
      </c>
      <c r="L180" s="242">
        <v>-11.95</v>
      </c>
      <c r="M180" s="242">
        <v>-12.76</v>
      </c>
      <c r="N180" s="242">
        <v>-8.64</v>
      </c>
      <c r="O180" s="242">
        <v>-6.97</v>
      </c>
      <c r="P180" s="242">
        <v>-5.5</v>
      </c>
      <c r="Q180" s="242" t="s">
        <v>474</v>
      </c>
    </row>
    <row r="181">
      <c r="A181" s="242" t="s">
        <v>471</v>
      </c>
      <c r="B181" s="242" t="s">
        <v>516</v>
      </c>
      <c r="C181" s="242" t="s">
        <v>339</v>
      </c>
      <c r="E181" s="242" t="s">
        <v>474</v>
      </c>
      <c r="F181" s="417">
        <v>46108.0</v>
      </c>
      <c r="G181" s="242">
        <v>81.557</v>
      </c>
      <c r="H181" s="242">
        <v>16.08</v>
      </c>
      <c r="I181" s="242">
        <v>-10.19</v>
      </c>
      <c r="J181" s="242">
        <v>-0.92</v>
      </c>
      <c r="K181" s="242">
        <v>-2.3</v>
      </c>
      <c r="L181" s="242">
        <v>-8.35</v>
      </c>
      <c r="M181" s="242">
        <v>-11.0</v>
      </c>
      <c r="N181" s="242">
        <v>-4.91</v>
      </c>
      <c r="O181" s="242">
        <v>16.08</v>
      </c>
      <c r="P181" s="242">
        <v>23.12</v>
      </c>
      <c r="Q181" s="242">
        <v>90.85</v>
      </c>
    </row>
    <row r="182">
      <c r="A182" s="242" t="s">
        <v>471</v>
      </c>
      <c r="B182" s="242" t="s">
        <v>516</v>
      </c>
      <c r="C182" s="242" t="s">
        <v>340</v>
      </c>
      <c r="E182" s="242" t="s">
        <v>474</v>
      </c>
      <c r="F182" s="417">
        <v>46108.0</v>
      </c>
      <c r="G182" s="242">
        <v>15.4063</v>
      </c>
      <c r="H182" s="242">
        <v>19.54</v>
      </c>
      <c r="I182" s="242">
        <v>-5.7</v>
      </c>
      <c r="J182" s="242">
        <v>-0.97</v>
      </c>
      <c r="K182" s="242">
        <v>-1.9</v>
      </c>
      <c r="L182" s="242">
        <v>-3.3</v>
      </c>
      <c r="M182" s="242">
        <v>-7.12</v>
      </c>
      <c r="N182" s="242">
        <v>-3.71</v>
      </c>
      <c r="O182" s="242">
        <v>19.54</v>
      </c>
      <c r="P182" s="242">
        <v>21.65</v>
      </c>
      <c r="Q182" s="242">
        <v>111.09</v>
      </c>
    </row>
    <row r="183">
      <c r="A183" s="242" t="s">
        <v>471</v>
      </c>
      <c r="B183" s="242" t="s">
        <v>516</v>
      </c>
      <c r="C183" s="242" t="s">
        <v>334</v>
      </c>
      <c r="E183" s="242" t="s">
        <v>474</v>
      </c>
      <c r="F183" s="417">
        <v>46107.0</v>
      </c>
      <c r="G183" s="242">
        <v>193.9356</v>
      </c>
      <c r="H183" s="242">
        <v>4.27</v>
      </c>
      <c r="I183" s="242">
        <v>-1.48</v>
      </c>
      <c r="J183" s="242">
        <v>-0.63</v>
      </c>
      <c r="K183" s="242">
        <v>-0.48</v>
      </c>
      <c r="L183" s="242">
        <v>-1.48</v>
      </c>
      <c r="M183" s="242">
        <v>1.05</v>
      </c>
      <c r="N183" s="242">
        <v>2.98</v>
      </c>
      <c r="O183" s="242">
        <v>4.27</v>
      </c>
      <c r="P183" s="242">
        <v>7.29</v>
      </c>
      <c r="Q183" s="242">
        <v>20.31</v>
      </c>
    </row>
    <row r="184">
      <c r="A184" s="242" t="s">
        <v>471</v>
      </c>
      <c r="B184" s="242" t="s">
        <v>516</v>
      </c>
      <c r="C184" s="242" t="s">
        <v>346</v>
      </c>
      <c r="E184" s="242" t="s">
        <v>474</v>
      </c>
      <c r="F184" s="417">
        <v>46107.0</v>
      </c>
      <c r="G184" s="242">
        <v>107.394</v>
      </c>
      <c r="H184" s="242">
        <v>17.12</v>
      </c>
      <c r="I184" s="242">
        <v>-6.29</v>
      </c>
      <c r="J184" s="242">
        <v>-1.99</v>
      </c>
      <c r="K184" s="242">
        <v>-3.27</v>
      </c>
      <c r="L184" s="242">
        <v>-5.33</v>
      </c>
      <c r="M184" s="242">
        <v>-3.56</v>
      </c>
      <c r="N184" s="242">
        <v>4.38</v>
      </c>
      <c r="O184" s="242">
        <v>17.23</v>
      </c>
      <c r="P184" s="242">
        <v>30.73</v>
      </c>
      <c r="Q184" s="242">
        <v>77.91</v>
      </c>
    </row>
    <row r="185">
      <c r="A185" s="242" t="s">
        <v>471</v>
      </c>
      <c r="B185" s="242" t="s">
        <v>516</v>
      </c>
      <c r="C185" s="242" t="s">
        <v>328</v>
      </c>
      <c r="E185" s="242" t="s">
        <v>474</v>
      </c>
      <c r="F185" s="417">
        <v>46108.0</v>
      </c>
      <c r="G185" s="242">
        <v>219.5088</v>
      </c>
      <c r="H185" s="242">
        <v>20.33</v>
      </c>
      <c r="I185" s="242">
        <v>-11.25</v>
      </c>
      <c r="J185" s="242">
        <v>-0.27</v>
      </c>
      <c r="K185" s="242">
        <v>-1.11</v>
      </c>
      <c r="L185" s="242">
        <v>-9.58</v>
      </c>
      <c r="M185" s="242">
        <v>-9.16</v>
      </c>
      <c r="N185" s="242">
        <v>-3.82</v>
      </c>
      <c r="O185" s="242">
        <v>20.33</v>
      </c>
      <c r="P185" s="242">
        <v>32.37</v>
      </c>
      <c r="Q185" s="242">
        <v>127.95</v>
      </c>
    </row>
    <row r="186">
      <c r="A186" s="242" t="s">
        <v>471</v>
      </c>
      <c r="B186" s="242" t="s">
        <v>516</v>
      </c>
      <c r="C186" s="242" t="s">
        <v>330</v>
      </c>
      <c r="E186" s="242" t="s">
        <v>474</v>
      </c>
      <c r="F186" s="417">
        <v>46108.0</v>
      </c>
      <c r="G186" s="242">
        <v>338.0192</v>
      </c>
      <c r="H186" s="242">
        <v>34.46</v>
      </c>
      <c r="I186" s="242">
        <v>-9.39</v>
      </c>
      <c r="J186" s="242">
        <v>-0.33</v>
      </c>
      <c r="K186" s="242">
        <v>-2.18</v>
      </c>
      <c r="L186" s="242">
        <v>-6.94</v>
      </c>
      <c r="M186" s="242">
        <v>-5.14</v>
      </c>
      <c r="N186" s="242">
        <v>5.01</v>
      </c>
      <c r="O186" s="242">
        <v>34.46</v>
      </c>
      <c r="P186" s="242">
        <v>46.62</v>
      </c>
      <c r="Q186" s="242">
        <v>146.41</v>
      </c>
    </row>
    <row r="187">
      <c r="A187" s="242" t="s">
        <v>471</v>
      </c>
      <c r="B187" s="242" t="s">
        <v>516</v>
      </c>
      <c r="C187" s="242" t="s">
        <v>343</v>
      </c>
      <c r="E187" s="242" t="s">
        <v>474</v>
      </c>
      <c r="F187" s="417">
        <v>46108.0</v>
      </c>
      <c r="G187" s="242">
        <v>35.7345</v>
      </c>
      <c r="H187" s="242">
        <v>20.01</v>
      </c>
      <c r="I187" s="242">
        <v>-11.68</v>
      </c>
      <c r="J187" s="242">
        <v>-1.15</v>
      </c>
      <c r="K187" s="242">
        <v>-1.58</v>
      </c>
      <c r="L187" s="242">
        <v>-8.95</v>
      </c>
      <c r="M187" s="242">
        <v>-13.7</v>
      </c>
      <c r="N187" s="242">
        <v>-6.79</v>
      </c>
      <c r="O187" s="242">
        <v>20.01</v>
      </c>
      <c r="P187" s="242">
        <v>24.49</v>
      </c>
      <c r="Q187" s="242">
        <v>116.55</v>
      </c>
    </row>
    <row r="188">
      <c r="A188" s="242" t="s">
        <v>471</v>
      </c>
      <c r="B188" s="242" t="s">
        <v>516</v>
      </c>
      <c r="C188" s="242" t="s">
        <v>331</v>
      </c>
      <c r="E188" s="242" t="s">
        <v>474</v>
      </c>
      <c r="F188" s="417">
        <v>46108.0</v>
      </c>
      <c r="G188" s="242">
        <v>18.9735</v>
      </c>
      <c r="H188" s="242">
        <v>13.89</v>
      </c>
      <c r="I188" s="242">
        <v>-5.33</v>
      </c>
      <c r="J188" s="242">
        <v>-0.47</v>
      </c>
      <c r="K188" s="242">
        <v>-0.79</v>
      </c>
      <c r="L188" s="242">
        <v>-4.12</v>
      </c>
      <c r="M188" s="242">
        <v>-7.52</v>
      </c>
      <c r="N188" s="242">
        <v>-2.75</v>
      </c>
      <c r="O188" s="242">
        <v>13.89</v>
      </c>
      <c r="P188" s="242">
        <v>19.0</v>
      </c>
      <c r="Q188" s="242">
        <v>75.43</v>
      </c>
    </row>
    <row r="189">
      <c r="A189" s="242" t="s">
        <v>471</v>
      </c>
      <c r="B189" s="242" t="s">
        <v>516</v>
      </c>
      <c r="C189" s="242" t="s">
        <v>342</v>
      </c>
      <c r="E189" s="242" t="s">
        <v>474</v>
      </c>
      <c r="F189" s="417">
        <v>46108.0</v>
      </c>
      <c r="G189" s="242">
        <v>41.3225</v>
      </c>
      <c r="H189" s="242">
        <v>1.24</v>
      </c>
      <c r="I189" s="242">
        <v>-9.54</v>
      </c>
      <c r="J189" s="242">
        <v>-1.07</v>
      </c>
      <c r="K189" s="242">
        <v>0.02</v>
      </c>
      <c r="L189" s="242">
        <v>-7.52</v>
      </c>
      <c r="M189" s="242">
        <v>-16.31</v>
      </c>
      <c r="N189" s="242">
        <v>-14.33</v>
      </c>
      <c r="O189" s="242">
        <v>1.24</v>
      </c>
      <c r="P189" s="242">
        <v>0.73</v>
      </c>
      <c r="Q189" s="242">
        <v>49.38</v>
      </c>
    </row>
    <row r="190">
      <c r="A190" s="242" t="s">
        <v>471</v>
      </c>
      <c r="B190" s="242" t="s">
        <v>516</v>
      </c>
      <c r="C190" s="242" t="s">
        <v>311</v>
      </c>
      <c r="E190" s="242" t="s">
        <v>474</v>
      </c>
      <c r="F190" s="417">
        <v>46110.0</v>
      </c>
      <c r="G190" s="242">
        <v>305.8913</v>
      </c>
      <c r="H190" s="242">
        <v>12.64</v>
      </c>
      <c r="I190" s="242">
        <v>-8.91</v>
      </c>
      <c r="J190" s="242" t="s">
        <v>474</v>
      </c>
      <c r="K190" s="242">
        <v>-1.4</v>
      </c>
      <c r="L190" s="242">
        <v>-8.91</v>
      </c>
      <c r="M190" s="242">
        <v>-10.88</v>
      </c>
      <c r="N190" s="242">
        <v>-7.11</v>
      </c>
      <c r="O190" s="242">
        <v>13.3</v>
      </c>
      <c r="P190" s="242">
        <v>31.23</v>
      </c>
      <c r="Q190" s="242">
        <v>95.57</v>
      </c>
    </row>
    <row r="191">
      <c r="A191" s="242" t="s">
        <v>471</v>
      </c>
      <c r="B191" s="242" t="s">
        <v>517</v>
      </c>
      <c r="C191" s="242" t="s">
        <v>518</v>
      </c>
      <c r="E191" s="242" t="s">
        <v>474</v>
      </c>
      <c r="F191" s="417">
        <v>46107.0</v>
      </c>
      <c r="G191" s="242">
        <v>119.2513</v>
      </c>
      <c r="H191" s="242">
        <v>8.5</v>
      </c>
      <c r="I191" s="242">
        <v>-0.44</v>
      </c>
      <c r="J191" s="242">
        <v>-0.31</v>
      </c>
      <c r="K191" s="242">
        <v>0.08</v>
      </c>
      <c r="L191" s="242">
        <v>-0.28</v>
      </c>
      <c r="M191" s="242">
        <v>0.68</v>
      </c>
      <c r="N191" s="242">
        <v>3.63</v>
      </c>
      <c r="O191" s="242">
        <v>8.7</v>
      </c>
      <c r="P191" s="242">
        <v>12.48</v>
      </c>
      <c r="Q191" s="242">
        <v>44.03</v>
      </c>
    </row>
    <row r="192">
      <c r="A192" s="242" t="s">
        <v>471</v>
      </c>
      <c r="B192" s="242" t="s">
        <v>517</v>
      </c>
      <c r="C192" s="242" t="s">
        <v>519</v>
      </c>
      <c r="E192" s="242" t="s">
        <v>474</v>
      </c>
      <c r="F192" s="417">
        <v>46107.0</v>
      </c>
      <c r="G192" s="242">
        <v>91.9701</v>
      </c>
      <c r="H192" s="242">
        <v>17.17</v>
      </c>
      <c r="I192" s="242">
        <v>-7.79</v>
      </c>
      <c r="J192" s="242">
        <v>-2.94</v>
      </c>
      <c r="K192" s="242">
        <v>-1.76</v>
      </c>
      <c r="L192" s="242">
        <v>-6.95</v>
      </c>
      <c r="M192" s="242">
        <v>-9.88</v>
      </c>
      <c r="N192" s="242">
        <v>-4.83</v>
      </c>
      <c r="O192" s="242">
        <v>17.77</v>
      </c>
      <c r="P192" s="242">
        <v>21.09</v>
      </c>
      <c r="Q192" s="242">
        <v>108.67</v>
      </c>
    </row>
    <row r="193">
      <c r="A193" s="242" t="s">
        <v>471</v>
      </c>
      <c r="B193" s="242" t="s">
        <v>517</v>
      </c>
      <c r="C193" s="242" t="s">
        <v>520</v>
      </c>
      <c r="E193" s="242" t="s">
        <v>474</v>
      </c>
      <c r="F193" s="417">
        <v>46108.0</v>
      </c>
      <c r="G193" s="242">
        <v>108.6669</v>
      </c>
      <c r="H193" s="242">
        <v>15.72</v>
      </c>
      <c r="I193" s="242">
        <v>-11.36</v>
      </c>
      <c r="J193" s="242">
        <v>-1.04</v>
      </c>
      <c r="K193" s="242">
        <v>-2.91</v>
      </c>
      <c r="L193" s="242">
        <v>-9.52</v>
      </c>
      <c r="M193" s="242">
        <v>-13.87</v>
      </c>
      <c r="N193" s="242">
        <v>-7.64</v>
      </c>
      <c r="O193" s="242">
        <v>15.72</v>
      </c>
      <c r="P193" s="242">
        <v>21.9</v>
      </c>
      <c r="Q193" s="242">
        <v>117.18</v>
      </c>
    </row>
    <row r="194">
      <c r="A194" s="242" t="s">
        <v>471</v>
      </c>
      <c r="B194" s="242" t="s">
        <v>517</v>
      </c>
      <c r="C194" s="242" t="s">
        <v>521</v>
      </c>
      <c r="E194" s="242" t="s">
        <v>474</v>
      </c>
      <c r="F194" s="417">
        <v>46108.0</v>
      </c>
      <c r="G194" s="242">
        <v>119.1789</v>
      </c>
      <c r="H194" s="242">
        <v>9.7</v>
      </c>
      <c r="I194" s="242">
        <v>-2.12</v>
      </c>
      <c r="J194" s="242">
        <v>-0.23</v>
      </c>
      <c r="K194" s="242">
        <v>-0.45</v>
      </c>
      <c r="L194" s="242">
        <v>-1.72</v>
      </c>
      <c r="M194" s="242">
        <v>-0.74</v>
      </c>
      <c r="N194" s="242">
        <v>2.47</v>
      </c>
      <c r="O194" s="242">
        <v>9.7</v>
      </c>
      <c r="P194" s="242">
        <v>13.54</v>
      </c>
      <c r="Q194" s="242">
        <v>52.47</v>
      </c>
    </row>
    <row r="195">
      <c r="A195" s="242" t="s">
        <v>471</v>
      </c>
      <c r="B195" s="242" t="s">
        <v>517</v>
      </c>
      <c r="C195" s="242" t="s">
        <v>522</v>
      </c>
      <c r="E195" s="242" t="s">
        <v>474</v>
      </c>
      <c r="F195" s="417">
        <v>46108.0</v>
      </c>
      <c r="G195" s="242">
        <v>113.3864</v>
      </c>
      <c r="H195" s="242">
        <v>14.32</v>
      </c>
      <c r="I195" s="242">
        <v>-2.18</v>
      </c>
      <c r="J195" s="242">
        <v>-0.19</v>
      </c>
      <c r="K195" s="242">
        <v>-0.4</v>
      </c>
      <c r="L195" s="242">
        <v>-1.75</v>
      </c>
      <c r="M195" s="242">
        <v>-1.45</v>
      </c>
      <c r="N195" s="242">
        <v>2.93</v>
      </c>
      <c r="O195" s="242">
        <v>14.32</v>
      </c>
      <c r="P195" s="242">
        <v>18.72</v>
      </c>
      <c r="Q195" s="242">
        <v>69.7</v>
      </c>
    </row>
    <row r="196">
      <c r="A196" s="242" t="s">
        <v>471</v>
      </c>
      <c r="B196" s="242" t="s">
        <v>517</v>
      </c>
      <c r="C196" s="242" t="s">
        <v>523</v>
      </c>
      <c r="E196" s="242" t="s">
        <v>474</v>
      </c>
      <c r="F196" s="417">
        <v>46108.0</v>
      </c>
      <c r="G196" s="242">
        <v>110.1382</v>
      </c>
      <c r="H196" s="242">
        <v>47.1</v>
      </c>
      <c r="I196" s="242">
        <v>-4.82</v>
      </c>
      <c r="J196" s="242">
        <v>-0.53</v>
      </c>
      <c r="K196" s="242">
        <v>-1.42</v>
      </c>
      <c r="L196" s="242">
        <v>-4.06</v>
      </c>
      <c r="M196" s="242">
        <v>-4.58</v>
      </c>
      <c r="N196" s="242">
        <v>-0.49</v>
      </c>
      <c r="O196" s="242">
        <v>9.61</v>
      </c>
      <c r="P196" s="242">
        <v>15.14</v>
      </c>
      <c r="Q196" s="242" t="s">
        <v>474</v>
      </c>
    </row>
    <row r="197">
      <c r="A197" s="242" t="s">
        <v>471</v>
      </c>
      <c r="B197" s="242" t="s">
        <v>517</v>
      </c>
      <c r="C197" s="242" t="s">
        <v>524</v>
      </c>
      <c r="E197" s="242" t="s">
        <v>474</v>
      </c>
      <c r="F197" s="417">
        <v>46107.0</v>
      </c>
      <c r="G197" s="242">
        <v>121.8622</v>
      </c>
      <c r="H197" s="242">
        <v>21.8</v>
      </c>
      <c r="I197" s="242">
        <v>0.01</v>
      </c>
      <c r="J197" s="242">
        <v>-0.05</v>
      </c>
      <c r="K197" s="242">
        <v>-0.12</v>
      </c>
      <c r="L197" s="242">
        <v>-0.62</v>
      </c>
      <c r="M197" s="242">
        <v>-6.1</v>
      </c>
      <c r="N197" s="242">
        <v>2.27</v>
      </c>
      <c r="O197" s="242">
        <v>21.86</v>
      </c>
      <c r="P197" s="242">
        <v>24.8</v>
      </c>
      <c r="Q197" s="242" t="s">
        <v>474</v>
      </c>
    </row>
    <row r="198">
      <c r="A198" s="242" t="s">
        <v>471</v>
      </c>
      <c r="B198" s="242" t="s">
        <v>517</v>
      </c>
      <c r="C198" s="242" t="s">
        <v>525</v>
      </c>
      <c r="E198" s="242" t="s">
        <v>474</v>
      </c>
      <c r="F198" s="417">
        <v>46108.0</v>
      </c>
      <c r="G198" s="242">
        <v>144.01</v>
      </c>
      <c r="H198" s="242">
        <v>7.95</v>
      </c>
      <c r="I198" s="242">
        <v>0.5</v>
      </c>
      <c r="J198" s="242">
        <v>0.02</v>
      </c>
      <c r="K198" s="242">
        <v>0.29</v>
      </c>
      <c r="L198" s="242">
        <v>0.57</v>
      </c>
      <c r="M198" s="242">
        <v>2.46</v>
      </c>
      <c r="N198" s="242">
        <v>5.24</v>
      </c>
      <c r="O198" s="242">
        <v>7.95</v>
      </c>
      <c r="P198" s="242">
        <v>10.82</v>
      </c>
      <c r="Q198" s="242">
        <v>60.3</v>
      </c>
    </row>
    <row r="199">
      <c r="A199" s="242" t="s">
        <v>471</v>
      </c>
      <c r="B199" s="242" t="s">
        <v>526</v>
      </c>
      <c r="C199" s="242" t="s">
        <v>527</v>
      </c>
      <c r="D199" s="242"/>
      <c r="E199" s="242" t="s">
        <v>474</v>
      </c>
      <c r="F199" s="417">
        <v>46108.0</v>
      </c>
      <c r="G199" s="242">
        <v>36.9258</v>
      </c>
      <c r="H199" s="242">
        <v>20.19</v>
      </c>
      <c r="I199" s="242">
        <v>-9.53</v>
      </c>
      <c r="J199" s="242">
        <v>-0.77</v>
      </c>
      <c r="K199" s="242">
        <v>-1.76</v>
      </c>
      <c r="L199" s="242">
        <v>-7.64</v>
      </c>
      <c r="M199" s="242">
        <v>-11.69</v>
      </c>
      <c r="N199" s="242">
        <v>-6.34</v>
      </c>
      <c r="O199" s="242">
        <v>20.19</v>
      </c>
      <c r="P199" s="242">
        <v>27.28</v>
      </c>
      <c r="Q199" s="242">
        <v>118.86</v>
      </c>
    </row>
    <row r="200">
      <c r="A200" s="242" t="s">
        <v>471</v>
      </c>
      <c r="B200" s="242" t="s">
        <v>528</v>
      </c>
      <c r="C200" s="242" t="s">
        <v>529</v>
      </c>
      <c r="D200" s="242" t="s">
        <v>473</v>
      </c>
      <c r="E200" s="242" t="s">
        <v>474</v>
      </c>
      <c r="F200" s="417">
        <v>46111.0</v>
      </c>
      <c r="G200" s="242">
        <v>10.0726</v>
      </c>
      <c r="H200" s="242">
        <v>9.98</v>
      </c>
      <c r="I200" s="242">
        <v>8.27</v>
      </c>
      <c r="J200" s="242">
        <v>9.78</v>
      </c>
      <c r="K200" s="242">
        <v>8.85</v>
      </c>
      <c r="L200" s="242">
        <v>8.31</v>
      </c>
      <c r="M200" s="242">
        <v>9.25</v>
      </c>
      <c r="N200" s="242">
        <v>9.7</v>
      </c>
      <c r="O200" s="242">
        <v>9.97</v>
      </c>
      <c r="P200" s="242">
        <v>10.3</v>
      </c>
      <c r="Q200" s="242">
        <v>14.39</v>
      </c>
    </row>
    <row r="201">
      <c r="A201" s="242" t="s">
        <v>471</v>
      </c>
      <c r="B201" s="242" t="s">
        <v>528</v>
      </c>
      <c r="C201" s="242" t="s">
        <v>530</v>
      </c>
      <c r="D201" s="242" t="s">
        <v>473</v>
      </c>
      <c r="E201" s="242" t="s">
        <v>474</v>
      </c>
      <c r="F201" s="417">
        <v>46111.0</v>
      </c>
      <c r="G201" s="242">
        <v>10.7646</v>
      </c>
      <c r="H201" s="242">
        <v>10.04</v>
      </c>
      <c r="I201" s="242">
        <v>9.45</v>
      </c>
      <c r="J201" s="242">
        <v>9.49</v>
      </c>
      <c r="K201" s="242">
        <v>9.51</v>
      </c>
      <c r="L201" s="242">
        <v>9.45</v>
      </c>
      <c r="M201" s="242">
        <v>9.6</v>
      </c>
      <c r="N201" s="242">
        <v>9.88</v>
      </c>
      <c r="O201" s="242">
        <v>10.04</v>
      </c>
      <c r="P201" s="242">
        <v>10.33</v>
      </c>
      <c r="Q201" s="242">
        <v>14.13</v>
      </c>
    </row>
    <row r="202">
      <c r="A202" s="242" t="s">
        <v>471</v>
      </c>
      <c r="B202" s="242" t="s">
        <v>528</v>
      </c>
      <c r="C202" s="242" t="s">
        <v>531</v>
      </c>
      <c r="D202" s="242" t="s">
        <v>477</v>
      </c>
      <c r="E202" s="242" t="s">
        <v>474</v>
      </c>
      <c r="F202" s="417">
        <v>46109.0</v>
      </c>
      <c r="G202" s="242">
        <v>52.8344</v>
      </c>
      <c r="H202" s="242">
        <v>9.03</v>
      </c>
      <c r="I202" s="242">
        <v>8.72</v>
      </c>
      <c r="J202" s="242">
        <v>11.28</v>
      </c>
      <c r="K202" s="242">
        <v>9.75</v>
      </c>
      <c r="L202" s="242">
        <v>8.95</v>
      </c>
      <c r="M202" s="242">
        <v>9.45</v>
      </c>
      <c r="N202" s="242">
        <v>9.89</v>
      </c>
      <c r="O202" s="242">
        <v>9.03</v>
      </c>
      <c r="P202" s="242">
        <v>10.9</v>
      </c>
      <c r="Q202" s="242">
        <v>19.11</v>
      </c>
    </row>
    <row r="203">
      <c r="A203" s="242" t="s">
        <v>471</v>
      </c>
      <c r="B203" s="242" t="s">
        <v>528</v>
      </c>
      <c r="C203" s="242" t="s">
        <v>532</v>
      </c>
      <c r="D203" s="242" t="s">
        <v>473</v>
      </c>
      <c r="E203" s="242" t="s">
        <v>474</v>
      </c>
      <c r="F203" s="417">
        <v>46111.0</v>
      </c>
      <c r="G203" s="242">
        <v>108.5774</v>
      </c>
      <c r="H203" s="242">
        <v>9.73</v>
      </c>
      <c r="I203" s="242">
        <v>7.54</v>
      </c>
      <c r="J203" s="242">
        <v>7.56</v>
      </c>
      <c r="K203" s="242">
        <v>7.07</v>
      </c>
      <c r="L203" s="242">
        <v>7.55</v>
      </c>
      <c r="M203" s="242">
        <v>8.82</v>
      </c>
      <c r="N203" s="242">
        <v>9.54</v>
      </c>
      <c r="O203" s="242">
        <v>9.73</v>
      </c>
      <c r="P203" s="242">
        <v>9.95</v>
      </c>
      <c r="Q203" s="242">
        <v>14.07</v>
      </c>
    </row>
    <row r="204">
      <c r="A204" s="242" t="s">
        <v>471</v>
      </c>
      <c r="B204" s="242" t="s">
        <v>528</v>
      </c>
      <c r="C204" s="242" t="s">
        <v>533</v>
      </c>
      <c r="D204" s="242" t="s">
        <v>473</v>
      </c>
      <c r="E204" s="242" t="s">
        <v>474</v>
      </c>
      <c r="F204" s="417">
        <v>46111.0</v>
      </c>
      <c r="G204" s="242">
        <v>108.1287</v>
      </c>
      <c r="H204" s="242">
        <v>10.21</v>
      </c>
      <c r="I204" s="242">
        <v>9.53</v>
      </c>
      <c r="J204" s="242">
        <v>9.38</v>
      </c>
      <c r="K204" s="242">
        <v>9.57</v>
      </c>
      <c r="L204" s="242">
        <v>9.53</v>
      </c>
      <c r="M204" s="242">
        <v>9.77</v>
      </c>
      <c r="N204" s="242">
        <v>10.17</v>
      </c>
      <c r="O204" s="242">
        <v>10.18</v>
      </c>
      <c r="P204" s="242">
        <v>10.49</v>
      </c>
      <c r="Q204" s="242">
        <v>14.51</v>
      </c>
    </row>
    <row r="205">
      <c r="A205" s="242" t="s">
        <v>471</v>
      </c>
      <c r="B205" s="242" t="s">
        <v>528</v>
      </c>
      <c r="C205" s="242" t="s">
        <v>534</v>
      </c>
      <c r="D205" s="242" t="s">
        <v>473</v>
      </c>
      <c r="E205" s="242" t="s">
        <v>474</v>
      </c>
      <c r="F205" s="417">
        <v>46108.0</v>
      </c>
      <c r="G205" s="242">
        <v>107.48</v>
      </c>
      <c r="H205" s="242">
        <v>9.78</v>
      </c>
      <c r="I205" s="242">
        <v>8.0</v>
      </c>
      <c r="J205" s="242">
        <v>1.72</v>
      </c>
      <c r="K205" s="242">
        <v>6.94</v>
      </c>
      <c r="L205" s="242">
        <v>8.23</v>
      </c>
      <c r="M205" s="242">
        <v>9.02</v>
      </c>
      <c r="N205" s="242">
        <v>9.46</v>
      </c>
      <c r="O205" s="242">
        <v>9.76</v>
      </c>
      <c r="P205" s="242">
        <v>10.05</v>
      </c>
      <c r="Q205" s="242">
        <v>13.92</v>
      </c>
    </row>
    <row r="206">
      <c r="A206" s="242" t="s">
        <v>471</v>
      </c>
      <c r="B206" s="242" t="s">
        <v>528</v>
      </c>
      <c r="C206" s="242" t="s">
        <v>535</v>
      </c>
      <c r="E206" s="242" t="s">
        <v>474</v>
      </c>
      <c r="F206" s="419">
        <v>46108.0</v>
      </c>
      <c r="G206" s="242">
        <v>100.5171</v>
      </c>
      <c r="H206" s="242">
        <v>8.58</v>
      </c>
      <c r="I206" s="242">
        <v>8.58</v>
      </c>
      <c r="J206" s="242">
        <v>0.44</v>
      </c>
      <c r="K206" s="242">
        <v>5.94</v>
      </c>
      <c r="L206" s="242" t="s">
        <v>474</v>
      </c>
      <c r="M206" s="242" t="s">
        <v>474</v>
      </c>
      <c r="N206" s="242" t="s">
        <v>474</v>
      </c>
      <c r="O206" s="242" t="s">
        <v>474</v>
      </c>
      <c r="P206" s="242" t="s">
        <v>474</v>
      </c>
      <c r="Q206" s="242" t="s">
        <v>474</v>
      </c>
    </row>
    <row r="207">
      <c r="A207" s="242" t="s">
        <v>471</v>
      </c>
      <c r="B207" s="242" t="s">
        <v>528</v>
      </c>
      <c r="C207" s="242" t="s">
        <v>536</v>
      </c>
      <c r="D207" s="242"/>
      <c r="E207" s="242" t="s">
        <v>474</v>
      </c>
      <c r="F207" s="417">
        <v>46085.0</v>
      </c>
      <c r="G207" s="242">
        <v>100.0</v>
      </c>
      <c r="H207" s="242" t="s">
        <v>474</v>
      </c>
      <c r="I207" s="242" t="s">
        <v>474</v>
      </c>
      <c r="J207" s="242" t="s">
        <v>474</v>
      </c>
      <c r="K207" s="242" t="s">
        <v>474</v>
      </c>
      <c r="L207" s="242" t="s">
        <v>474</v>
      </c>
      <c r="M207" s="242" t="s">
        <v>474</v>
      </c>
      <c r="N207" s="242" t="s">
        <v>474</v>
      </c>
      <c r="O207" s="242" t="s">
        <v>474</v>
      </c>
      <c r="P207" s="242" t="s">
        <v>474</v>
      </c>
      <c r="Q207" s="242" t="s">
        <v>474</v>
      </c>
    </row>
    <row r="208">
      <c r="A208" s="242" t="s">
        <v>471</v>
      </c>
      <c r="B208" s="242" t="s">
        <v>528</v>
      </c>
      <c r="C208" s="242" t="s">
        <v>537</v>
      </c>
      <c r="D208" s="242" t="s">
        <v>477</v>
      </c>
      <c r="E208" s="242" t="s">
        <v>474</v>
      </c>
      <c r="F208" s="417">
        <v>46109.0</v>
      </c>
      <c r="G208" s="242">
        <v>107.7079</v>
      </c>
      <c r="H208" s="242">
        <v>9.9</v>
      </c>
      <c r="I208" s="242">
        <v>8.54</v>
      </c>
      <c r="J208" s="242">
        <v>8.36</v>
      </c>
      <c r="K208" s="242">
        <v>8.65</v>
      </c>
      <c r="L208" s="242">
        <v>8.52</v>
      </c>
      <c r="M208" s="242">
        <v>9.18</v>
      </c>
      <c r="N208" s="242">
        <v>9.7</v>
      </c>
      <c r="O208" s="242">
        <v>9.9</v>
      </c>
      <c r="P208" s="242">
        <v>10.2</v>
      </c>
      <c r="Q208" s="242">
        <v>14.42</v>
      </c>
    </row>
    <row r="209">
      <c r="A209" s="242" t="s">
        <v>471</v>
      </c>
      <c r="B209" s="242" t="s">
        <v>528</v>
      </c>
      <c r="C209" s="242" t="s">
        <v>538</v>
      </c>
      <c r="D209" s="242" t="s">
        <v>477</v>
      </c>
      <c r="E209" s="242" t="s">
        <v>474</v>
      </c>
      <c r="F209" s="417">
        <v>46109.0</v>
      </c>
      <c r="G209" s="242">
        <v>100.1811</v>
      </c>
      <c r="H209" s="242">
        <v>7.66</v>
      </c>
      <c r="I209" s="242">
        <v>-3.5</v>
      </c>
      <c r="J209" s="242">
        <v>7.01</v>
      </c>
      <c r="K209" s="242">
        <v>-12.87</v>
      </c>
      <c r="L209" s="242">
        <v>-2.81</v>
      </c>
      <c r="M209" s="242">
        <v>4.62</v>
      </c>
      <c r="N209" s="242">
        <v>6.8</v>
      </c>
      <c r="O209" s="242">
        <v>7.66</v>
      </c>
      <c r="P209" s="242">
        <v>8.44</v>
      </c>
      <c r="Q209" s="242">
        <v>11.93</v>
      </c>
    </row>
    <row r="210">
      <c r="A210" s="242" t="s">
        <v>471</v>
      </c>
      <c r="B210" s="242" t="s">
        <v>528</v>
      </c>
      <c r="C210" s="242" t="s">
        <v>539</v>
      </c>
      <c r="D210" s="242" t="s">
        <v>477</v>
      </c>
      <c r="E210" s="242" t="s">
        <v>474</v>
      </c>
      <c r="F210" s="417">
        <v>46111.0</v>
      </c>
      <c r="G210" s="242">
        <v>107.8567</v>
      </c>
      <c r="H210" s="242">
        <v>10.02</v>
      </c>
      <c r="I210" s="242">
        <v>9.15</v>
      </c>
      <c r="J210" s="242">
        <v>9.27</v>
      </c>
      <c r="K210" s="242">
        <v>9.16</v>
      </c>
      <c r="L210" s="242">
        <v>9.15</v>
      </c>
      <c r="M210" s="242">
        <v>9.41</v>
      </c>
      <c r="N210" s="242">
        <v>9.88</v>
      </c>
      <c r="O210" s="242">
        <v>10.02</v>
      </c>
      <c r="P210" s="242">
        <v>10.31</v>
      </c>
      <c r="Q210" s="242">
        <v>14.53</v>
      </c>
    </row>
    <row r="211">
      <c r="A211" s="242" t="s">
        <v>471</v>
      </c>
      <c r="B211" s="242" t="s">
        <v>528</v>
      </c>
      <c r="C211" s="242" t="s">
        <v>540</v>
      </c>
      <c r="D211" s="242" t="s">
        <v>473</v>
      </c>
      <c r="E211" s="242" t="s">
        <v>474</v>
      </c>
      <c r="F211" s="417">
        <v>46108.0</v>
      </c>
      <c r="G211" s="242">
        <v>99.51</v>
      </c>
      <c r="H211" s="242">
        <v>9.51</v>
      </c>
      <c r="I211" s="242">
        <v>8.34</v>
      </c>
      <c r="J211" s="242">
        <v>8.65</v>
      </c>
      <c r="K211" s="242">
        <v>8.6</v>
      </c>
      <c r="L211" s="242">
        <v>8.37</v>
      </c>
      <c r="M211" s="242">
        <v>8.73</v>
      </c>
      <c r="N211" s="242">
        <v>9.17</v>
      </c>
      <c r="O211" s="242">
        <v>9.51</v>
      </c>
      <c r="P211" s="242">
        <v>9.64</v>
      </c>
      <c r="Q211" s="242">
        <v>14.07</v>
      </c>
    </row>
    <row r="212">
      <c r="A212" s="242" t="s">
        <v>471</v>
      </c>
      <c r="B212" s="242" t="s">
        <v>528</v>
      </c>
      <c r="C212" s="242" t="s">
        <v>541</v>
      </c>
      <c r="D212" s="242" t="s">
        <v>477</v>
      </c>
      <c r="E212" s="242" t="s">
        <v>474</v>
      </c>
      <c r="F212" s="417">
        <v>46108.0</v>
      </c>
      <c r="G212" s="242">
        <v>538.3568</v>
      </c>
      <c r="H212" s="242">
        <v>9.92</v>
      </c>
      <c r="I212" s="242">
        <v>8.89</v>
      </c>
      <c r="J212" s="242">
        <v>10.48</v>
      </c>
      <c r="K212" s="242">
        <v>9.67</v>
      </c>
      <c r="L212" s="242">
        <v>8.86</v>
      </c>
      <c r="M212" s="242">
        <v>9.3</v>
      </c>
      <c r="N212" s="242">
        <v>9.7</v>
      </c>
      <c r="O212" s="242">
        <v>9.92</v>
      </c>
      <c r="P212" s="242">
        <v>10.24</v>
      </c>
      <c r="Q212" s="242" t="s">
        <v>474</v>
      </c>
    </row>
    <row r="213">
      <c r="A213" s="242" t="s">
        <v>471</v>
      </c>
      <c r="B213" s="242" t="s">
        <v>528</v>
      </c>
      <c r="C213" s="242" t="s">
        <v>542</v>
      </c>
      <c r="D213" s="242" t="s">
        <v>477</v>
      </c>
      <c r="E213" s="242" t="s">
        <v>474</v>
      </c>
      <c r="F213" s="417">
        <v>46108.0</v>
      </c>
      <c r="G213" s="242">
        <v>543.5892</v>
      </c>
      <c r="H213" s="242">
        <v>10.3</v>
      </c>
      <c r="I213" s="242">
        <v>9.06</v>
      </c>
      <c r="J213" s="242">
        <v>11.17</v>
      </c>
      <c r="K213" s="242">
        <v>9.21</v>
      </c>
      <c r="L213" s="242">
        <v>9.11</v>
      </c>
      <c r="M213" s="242">
        <v>9.71</v>
      </c>
      <c r="N213" s="242">
        <v>10.22</v>
      </c>
      <c r="O213" s="242">
        <v>10.3</v>
      </c>
      <c r="P213" s="242">
        <v>10.41</v>
      </c>
      <c r="Q213" s="242">
        <v>14.61</v>
      </c>
    </row>
    <row r="214">
      <c r="A214" s="242" t="s">
        <v>471</v>
      </c>
      <c r="B214" s="242" t="s">
        <v>528</v>
      </c>
      <c r="C214" s="242" t="s">
        <v>543</v>
      </c>
      <c r="D214" s="242" t="s">
        <v>473</v>
      </c>
      <c r="E214" s="242" t="s">
        <v>474</v>
      </c>
      <c r="F214" s="417">
        <v>46108.0</v>
      </c>
      <c r="G214" s="242">
        <v>126.7871</v>
      </c>
      <c r="H214" s="242">
        <v>10.25</v>
      </c>
      <c r="I214" s="242">
        <v>9.7</v>
      </c>
      <c r="J214" s="242">
        <v>9.64</v>
      </c>
      <c r="K214" s="242">
        <v>9.71</v>
      </c>
      <c r="L214" s="242">
        <v>9.69</v>
      </c>
      <c r="M214" s="242">
        <v>9.81</v>
      </c>
      <c r="N214" s="242">
        <v>10.13</v>
      </c>
      <c r="O214" s="242">
        <v>10.25</v>
      </c>
      <c r="P214" s="242">
        <v>10.58</v>
      </c>
      <c r="Q214" s="242" t="s">
        <v>474</v>
      </c>
    </row>
    <row r="215">
      <c r="A215" s="242" t="s">
        <v>471</v>
      </c>
      <c r="B215" s="242" t="s">
        <v>528</v>
      </c>
      <c r="C215" s="242" t="s">
        <v>544</v>
      </c>
      <c r="D215" s="242" t="s">
        <v>477</v>
      </c>
      <c r="E215" s="242" t="s">
        <v>474</v>
      </c>
      <c r="F215" s="417">
        <v>46109.0</v>
      </c>
      <c r="G215" s="242">
        <v>108.8458</v>
      </c>
      <c r="H215" s="242">
        <v>9.05</v>
      </c>
      <c r="I215" s="242">
        <v>8.69</v>
      </c>
      <c r="J215" s="242">
        <v>8.72</v>
      </c>
      <c r="K215" s="242">
        <v>8.69</v>
      </c>
      <c r="L215" s="242">
        <v>8.59</v>
      </c>
      <c r="M215" s="242">
        <v>8.71</v>
      </c>
      <c r="N215" s="242">
        <v>8.86</v>
      </c>
      <c r="O215" s="242">
        <v>9.05</v>
      </c>
      <c r="P215" s="242">
        <v>9.27</v>
      </c>
      <c r="Q215" s="242">
        <v>13.41</v>
      </c>
    </row>
    <row r="216">
      <c r="A216" s="242" t="s">
        <v>471</v>
      </c>
      <c r="B216" s="242" t="s">
        <v>528</v>
      </c>
      <c r="C216" s="242" t="s">
        <v>545</v>
      </c>
      <c r="D216" s="242" t="s">
        <v>477</v>
      </c>
      <c r="E216" s="242" t="s">
        <v>474</v>
      </c>
      <c r="F216" s="417">
        <v>46109.0</v>
      </c>
      <c r="G216" s="242">
        <v>106.9763</v>
      </c>
      <c r="H216" s="242">
        <v>9.06</v>
      </c>
      <c r="I216" s="242">
        <v>8.77</v>
      </c>
      <c r="J216" s="242">
        <v>8.83</v>
      </c>
      <c r="K216" s="242">
        <v>8.77</v>
      </c>
      <c r="L216" s="242">
        <v>8.66</v>
      </c>
      <c r="M216" s="242">
        <v>8.84</v>
      </c>
      <c r="N216" s="242">
        <v>8.91</v>
      </c>
      <c r="O216" s="242">
        <v>9.06</v>
      </c>
      <c r="P216" s="242">
        <v>9.26</v>
      </c>
      <c r="Q216" s="242">
        <v>14.09</v>
      </c>
    </row>
    <row r="217">
      <c r="A217" s="242" t="s">
        <v>471</v>
      </c>
      <c r="B217" s="242" t="s">
        <v>528</v>
      </c>
      <c r="C217" s="242" t="s">
        <v>546</v>
      </c>
      <c r="D217" s="242" t="s">
        <v>473</v>
      </c>
      <c r="E217" s="242" t="s">
        <v>474</v>
      </c>
      <c r="F217" s="417">
        <v>46108.0</v>
      </c>
      <c r="G217" s="242">
        <v>108.7485</v>
      </c>
      <c r="H217" s="242">
        <v>9.61</v>
      </c>
      <c r="I217" s="242">
        <v>8.05</v>
      </c>
      <c r="J217" s="242">
        <v>7.74</v>
      </c>
      <c r="K217" s="242">
        <v>8.15</v>
      </c>
      <c r="L217" s="242">
        <v>8.12</v>
      </c>
      <c r="M217" s="242">
        <v>8.82</v>
      </c>
      <c r="N217" s="242">
        <v>9.43</v>
      </c>
      <c r="O217" s="242">
        <v>9.62</v>
      </c>
      <c r="P217" s="242">
        <v>10.17</v>
      </c>
      <c r="Q217" s="242">
        <v>14.26</v>
      </c>
    </row>
    <row r="218">
      <c r="A218" s="242" t="s">
        <v>471</v>
      </c>
      <c r="B218" s="242" t="s">
        <v>528</v>
      </c>
      <c r="C218" s="242" t="s">
        <v>547</v>
      </c>
      <c r="D218" s="242"/>
      <c r="E218" s="242" t="s">
        <v>474</v>
      </c>
      <c r="F218" s="417">
        <v>46108.0</v>
      </c>
      <c r="G218" s="242">
        <v>107.6154</v>
      </c>
      <c r="H218" s="242">
        <v>9.41</v>
      </c>
      <c r="I218" s="242">
        <v>7.97</v>
      </c>
      <c r="J218" s="242">
        <v>9.86</v>
      </c>
      <c r="K218" s="242">
        <v>8.08</v>
      </c>
      <c r="L218" s="242">
        <v>8.08</v>
      </c>
      <c r="M218" s="242">
        <v>8.79</v>
      </c>
      <c r="N218" s="242">
        <v>9.04</v>
      </c>
      <c r="O218" s="242">
        <v>9.41</v>
      </c>
      <c r="P218" s="242">
        <v>9.96</v>
      </c>
      <c r="Q218" s="242">
        <v>13.76</v>
      </c>
    </row>
    <row r="219">
      <c r="A219" s="242" t="s">
        <v>471</v>
      </c>
      <c r="B219" s="242" t="s">
        <v>528</v>
      </c>
      <c r="C219" s="242" t="s">
        <v>548</v>
      </c>
      <c r="D219" s="242" t="s">
        <v>477</v>
      </c>
      <c r="E219" s="242" t="s">
        <v>474</v>
      </c>
      <c r="F219" s="417">
        <v>46111.0</v>
      </c>
      <c r="G219" s="242">
        <v>111.347</v>
      </c>
      <c r="H219" s="242">
        <v>9.86</v>
      </c>
      <c r="I219" s="242">
        <v>9.22</v>
      </c>
      <c r="J219" s="242">
        <v>9.09</v>
      </c>
      <c r="K219" s="242">
        <v>9.24</v>
      </c>
      <c r="L219" s="242">
        <v>9.22</v>
      </c>
      <c r="M219" s="242">
        <v>9.13</v>
      </c>
      <c r="N219" s="242">
        <v>9.48</v>
      </c>
      <c r="O219" s="242">
        <v>9.85</v>
      </c>
      <c r="P219" s="242">
        <v>10.17</v>
      </c>
      <c r="Q219" s="242">
        <v>14.27</v>
      </c>
    </row>
    <row r="220">
      <c r="A220" s="242" t="s">
        <v>471</v>
      </c>
      <c r="B220" s="242" t="s">
        <v>528</v>
      </c>
      <c r="C220" s="242" t="s">
        <v>549</v>
      </c>
      <c r="D220" s="242" t="s">
        <v>477</v>
      </c>
      <c r="E220" s="242" t="s">
        <v>474</v>
      </c>
      <c r="F220" s="417">
        <v>46111.0</v>
      </c>
      <c r="G220" s="242">
        <v>108.7663</v>
      </c>
      <c r="H220" s="242">
        <v>10.14</v>
      </c>
      <c r="I220" s="242">
        <v>9.74</v>
      </c>
      <c r="J220" s="242">
        <v>9.71</v>
      </c>
      <c r="K220" s="242">
        <v>9.73</v>
      </c>
      <c r="L220" s="242">
        <v>9.74</v>
      </c>
      <c r="M220" s="242">
        <v>9.85</v>
      </c>
      <c r="N220" s="242">
        <v>10.11</v>
      </c>
      <c r="O220" s="242">
        <v>10.14</v>
      </c>
      <c r="P220" s="242">
        <v>10.56</v>
      </c>
      <c r="Q220" s="242">
        <v>14.25</v>
      </c>
    </row>
    <row r="221">
      <c r="A221" s="242" t="s">
        <v>471</v>
      </c>
      <c r="B221" s="242" t="s">
        <v>528</v>
      </c>
      <c r="C221" s="242" t="s">
        <v>550</v>
      </c>
      <c r="D221" s="242"/>
      <c r="E221" s="242" t="s">
        <v>474</v>
      </c>
      <c r="F221" s="417">
        <v>46109.0</v>
      </c>
      <c r="G221" s="242">
        <v>100.0</v>
      </c>
      <c r="H221" s="242" t="s">
        <v>474</v>
      </c>
      <c r="I221" s="242">
        <v>9.16</v>
      </c>
      <c r="J221" s="242" t="s">
        <v>474</v>
      </c>
      <c r="K221" s="242">
        <v>8.87</v>
      </c>
      <c r="L221" s="242">
        <v>9.19</v>
      </c>
      <c r="M221" s="242" t="s">
        <v>474</v>
      </c>
      <c r="N221" s="242" t="s">
        <v>474</v>
      </c>
      <c r="O221" s="242" t="s">
        <v>474</v>
      </c>
      <c r="P221" s="242" t="s">
        <v>474</v>
      </c>
      <c r="Q221" s="242" t="s">
        <v>474</v>
      </c>
    </row>
    <row r="222">
      <c r="A222" s="242" t="s">
        <v>471</v>
      </c>
      <c r="B222" s="242" t="s">
        <v>528</v>
      </c>
      <c r="C222" s="242" t="s">
        <v>551</v>
      </c>
      <c r="D222" s="242" t="s">
        <v>473</v>
      </c>
      <c r="E222" s="242" t="s">
        <v>474</v>
      </c>
      <c r="F222" s="417">
        <v>46109.0</v>
      </c>
      <c r="G222" s="242">
        <v>107.5895</v>
      </c>
      <c r="H222" s="242">
        <v>10.01</v>
      </c>
      <c r="I222" s="242">
        <v>8.84</v>
      </c>
      <c r="J222" s="242">
        <v>9.89</v>
      </c>
      <c r="K222" s="242">
        <v>9.4</v>
      </c>
      <c r="L222" s="242">
        <v>8.85</v>
      </c>
      <c r="M222" s="242">
        <v>9.34</v>
      </c>
      <c r="N222" s="242">
        <v>9.8</v>
      </c>
      <c r="O222" s="242">
        <v>10.01</v>
      </c>
      <c r="P222" s="242" t="s">
        <v>474</v>
      </c>
      <c r="Q222" s="242" t="s">
        <v>474</v>
      </c>
    </row>
    <row r="223">
      <c r="A223" s="242" t="s">
        <v>471</v>
      </c>
      <c r="B223" s="242" t="s">
        <v>528</v>
      </c>
      <c r="C223" s="242" t="s">
        <v>552</v>
      </c>
      <c r="D223" s="242" t="s">
        <v>473</v>
      </c>
      <c r="E223" s="242" t="s">
        <v>474</v>
      </c>
      <c r="F223" s="417">
        <v>46109.0</v>
      </c>
      <c r="G223" s="242">
        <v>114.5891</v>
      </c>
      <c r="H223" s="242">
        <v>9.92</v>
      </c>
      <c r="I223" s="242">
        <v>8.4</v>
      </c>
      <c r="J223" s="242">
        <v>17.37</v>
      </c>
      <c r="K223" s="242">
        <v>8.76</v>
      </c>
      <c r="L223" s="242">
        <v>8.52</v>
      </c>
      <c r="M223" s="242">
        <v>9.21</v>
      </c>
      <c r="N223" s="242">
        <v>9.68</v>
      </c>
      <c r="O223" s="242">
        <v>9.92</v>
      </c>
      <c r="P223" s="242">
        <v>10.2</v>
      </c>
      <c r="Q223" s="242">
        <v>14.39</v>
      </c>
    </row>
    <row r="224">
      <c r="A224" s="242" t="s">
        <v>471</v>
      </c>
      <c r="B224" s="242" t="s">
        <v>528</v>
      </c>
      <c r="C224" s="242" t="s">
        <v>553</v>
      </c>
      <c r="D224" s="242" t="s">
        <v>473</v>
      </c>
      <c r="E224" s="242" t="s">
        <v>474</v>
      </c>
      <c r="F224" s="417">
        <v>46108.0</v>
      </c>
      <c r="G224" s="242">
        <v>54.9963</v>
      </c>
      <c r="H224" s="242">
        <v>9.38</v>
      </c>
      <c r="I224" s="242">
        <v>8.76</v>
      </c>
      <c r="J224" s="242">
        <v>11.28</v>
      </c>
      <c r="K224" s="242">
        <v>8.53</v>
      </c>
      <c r="L224" s="242">
        <v>8.81</v>
      </c>
      <c r="M224" s="242">
        <v>9.05</v>
      </c>
      <c r="N224" s="242">
        <v>9.28</v>
      </c>
      <c r="O224" s="242">
        <v>9.38</v>
      </c>
      <c r="P224" s="242">
        <v>9.67</v>
      </c>
      <c r="Q224" s="242">
        <v>13.73</v>
      </c>
    </row>
    <row r="225">
      <c r="A225" s="242" t="s">
        <v>471</v>
      </c>
      <c r="B225" s="242" t="s">
        <v>528</v>
      </c>
      <c r="C225" s="242" t="s">
        <v>554</v>
      </c>
      <c r="D225" s="242"/>
      <c r="E225" s="242" t="s">
        <v>474</v>
      </c>
      <c r="F225" s="417">
        <v>46107.0</v>
      </c>
      <c r="G225" s="242">
        <v>50.7561</v>
      </c>
      <c r="H225" s="242">
        <v>9.68</v>
      </c>
      <c r="I225" s="242">
        <v>9.71</v>
      </c>
      <c r="J225" s="242">
        <v>7.12</v>
      </c>
      <c r="K225" s="242">
        <v>10.1</v>
      </c>
      <c r="L225" s="242">
        <v>9.71</v>
      </c>
      <c r="M225" s="242" t="s">
        <v>474</v>
      </c>
      <c r="N225" s="242" t="s">
        <v>474</v>
      </c>
      <c r="O225" s="242" t="s">
        <v>474</v>
      </c>
      <c r="P225" s="242" t="s">
        <v>474</v>
      </c>
      <c r="Q225" s="242" t="s">
        <v>474</v>
      </c>
    </row>
    <row r="226">
      <c r="A226" s="242" t="s">
        <v>471</v>
      </c>
      <c r="B226" s="242" t="s">
        <v>528</v>
      </c>
      <c r="C226" s="242" t="s">
        <v>555</v>
      </c>
      <c r="D226" s="242" t="s">
        <v>473</v>
      </c>
      <c r="E226" s="242" t="s">
        <v>474</v>
      </c>
      <c r="F226" s="417">
        <v>46108.0</v>
      </c>
      <c r="G226" s="242">
        <v>50.0</v>
      </c>
      <c r="H226" s="242">
        <v>9.29</v>
      </c>
      <c r="I226" s="242">
        <v>9.02</v>
      </c>
      <c r="J226" s="242">
        <v>9.42</v>
      </c>
      <c r="K226" s="242">
        <v>9.21</v>
      </c>
      <c r="L226" s="242">
        <v>8.99</v>
      </c>
      <c r="M226" s="242">
        <v>9.04</v>
      </c>
      <c r="N226" s="242">
        <v>9.19</v>
      </c>
      <c r="O226" s="242">
        <v>9.29</v>
      </c>
      <c r="P226" s="242">
        <v>9.52</v>
      </c>
      <c r="Q226" s="242">
        <v>13.8</v>
      </c>
    </row>
    <row r="227">
      <c r="A227" s="242" t="s">
        <v>471</v>
      </c>
      <c r="B227" s="242" t="s">
        <v>528</v>
      </c>
      <c r="C227" s="242" t="s">
        <v>556</v>
      </c>
      <c r="D227" s="242" t="s">
        <v>473</v>
      </c>
      <c r="E227" s="242" t="s">
        <v>474</v>
      </c>
      <c r="F227" s="417">
        <v>46109.0</v>
      </c>
      <c r="G227" s="242">
        <v>10.0</v>
      </c>
      <c r="H227" s="242">
        <v>10.27</v>
      </c>
      <c r="I227" s="242">
        <v>9.29</v>
      </c>
      <c r="J227" s="242">
        <v>9.13</v>
      </c>
      <c r="K227" s="242">
        <v>9.46</v>
      </c>
      <c r="L227" s="242">
        <v>9.34</v>
      </c>
      <c r="M227" s="242">
        <v>9.65</v>
      </c>
      <c r="N227" s="242">
        <v>10.15</v>
      </c>
      <c r="O227" s="242">
        <v>10.27</v>
      </c>
      <c r="P227" s="242">
        <v>10.4</v>
      </c>
      <c r="Q227" s="242">
        <v>14.52</v>
      </c>
    </row>
    <row r="228">
      <c r="A228" s="242" t="s">
        <v>471</v>
      </c>
      <c r="B228" s="242" t="s">
        <v>528</v>
      </c>
      <c r="C228" s="242" t="s">
        <v>557</v>
      </c>
      <c r="D228" s="242" t="s">
        <v>477</v>
      </c>
      <c r="E228" s="242" t="s">
        <v>474</v>
      </c>
      <c r="F228" s="417">
        <v>46109.0</v>
      </c>
      <c r="G228" s="242">
        <v>10.9219</v>
      </c>
      <c r="H228" s="242">
        <v>9.97</v>
      </c>
      <c r="I228" s="242">
        <v>9.7</v>
      </c>
      <c r="J228" s="242">
        <v>9.71</v>
      </c>
      <c r="K228" s="242">
        <v>9.8</v>
      </c>
      <c r="L228" s="242">
        <v>9.72</v>
      </c>
      <c r="M228" s="242">
        <v>9.71</v>
      </c>
      <c r="N228" s="242">
        <v>9.9</v>
      </c>
      <c r="O228" s="242">
        <v>9.97</v>
      </c>
      <c r="P228" s="242">
        <v>10.16</v>
      </c>
      <c r="Q228" s="242">
        <v>14.39</v>
      </c>
    </row>
    <row r="229">
      <c r="A229" s="242" t="s">
        <v>471</v>
      </c>
      <c r="B229" s="242" t="s">
        <v>528</v>
      </c>
      <c r="C229" s="242" t="s">
        <v>558</v>
      </c>
      <c r="D229" s="242" t="s">
        <v>475</v>
      </c>
      <c r="E229" s="242" t="s">
        <v>474</v>
      </c>
      <c r="F229" s="417">
        <v>46111.0</v>
      </c>
      <c r="G229" s="242">
        <v>108.8513</v>
      </c>
      <c r="H229" s="242">
        <v>10.01</v>
      </c>
      <c r="I229" s="242">
        <v>9.4</v>
      </c>
      <c r="J229" s="242">
        <v>6.17</v>
      </c>
      <c r="K229" s="242">
        <v>9.31</v>
      </c>
      <c r="L229" s="242">
        <v>9.42</v>
      </c>
      <c r="M229" s="242">
        <v>9.6</v>
      </c>
      <c r="N229" s="242">
        <v>9.87</v>
      </c>
      <c r="O229" s="242">
        <v>10.01</v>
      </c>
      <c r="P229" s="242">
        <v>10.36</v>
      </c>
      <c r="Q229" s="242">
        <v>14.24</v>
      </c>
    </row>
    <row r="230">
      <c r="A230" s="242" t="s">
        <v>471</v>
      </c>
      <c r="B230" s="242" t="s">
        <v>528</v>
      </c>
      <c r="C230" s="242" t="s">
        <v>559</v>
      </c>
      <c r="D230" s="242" t="s">
        <v>477</v>
      </c>
      <c r="E230" s="242" t="s">
        <v>474</v>
      </c>
      <c r="F230" s="417">
        <v>46109.0</v>
      </c>
      <c r="G230" s="242">
        <v>9.9919</v>
      </c>
      <c r="H230" s="242">
        <v>4.79</v>
      </c>
      <c r="I230" s="242">
        <v>-0.92</v>
      </c>
      <c r="J230" s="242">
        <v>-1.1</v>
      </c>
      <c r="K230" s="242">
        <v>-0.92</v>
      </c>
      <c r="L230" s="242">
        <v>-0.91</v>
      </c>
      <c r="M230" s="242">
        <v>2.46</v>
      </c>
      <c r="N230" s="242">
        <v>4.02</v>
      </c>
      <c r="O230" s="242">
        <v>4.79</v>
      </c>
      <c r="P230" s="242">
        <v>5.22</v>
      </c>
      <c r="Q230" s="242">
        <v>9.36</v>
      </c>
    </row>
    <row r="231">
      <c r="A231" s="242" t="s">
        <v>471</v>
      </c>
      <c r="B231" s="242" t="s">
        <v>528</v>
      </c>
      <c r="C231" s="242" t="s">
        <v>560</v>
      </c>
      <c r="D231" s="242" t="s">
        <v>477</v>
      </c>
      <c r="E231" s="242" t="s">
        <v>474</v>
      </c>
      <c r="F231" s="417">
        <v>46109.0</v>
      </c>
      <c r="G231" s="242">
        <v>115.0444</v>
      </c>
      <c r="H231" s="242">
        <v>9.95</v>
      </c>
      <c r="I231" s="242">
        <v>9.08</v>
      </c>
      <c r="J231" s="242">
        <v>1.72</v>
      </c>
      <c r="K231" s="242">
        <v>8.93</v>
      </c>
      <c r="L231" s="242">
        <v>8.9</v>
      </c>
      <c r="M231" s="242">
        <v>9.5</v>
      </c>
      <c r="N231" s="242">
        <v>9.8</v>
      </c>
      <c r="O231" s="242">
        <v>9.94</v>
      </c>
      <c r="P231" s="242">
        <v>9.8</v>
      </c>
      <c r="Q231" s="242">
        <v>13.55</v>
      </c>
    </row>
    <row r="232">
      <c r="A232" s="242" t="s">
        <v>471</v>
      </c>
      <c r="B232" s="242" t="s">
        <v>528</v>
      </c>
      <c r="C232" s="242" t="s">
        <v>561</v>
      </c>
      <c r="D232" s="242" t="s">
        <v>477</v>
      </c>
      <c r="E232" s="242" t="s">
        <v>474</v>
      </c>
      <c r="F232" s="417">
        <v>46109.0</v>
      </c>
      <c r="G232" s="242">
        <v>121.61</v>
      </c>
      <c r="H232" s="242">
        <v>10.22</v>
      </c>
      <c r="I232" s="242">
        <v>9.64</v>
      </c>
      <c r="J232" s="242">
        <v>9.38</v>
      </c>
      <c r="K232" s="242">
        <v>9.7</v>
      </c>
      <c r="L232" s="242">
        <v>9.65</v>
      </c>
      <c r="M232" s="242">
        <v>9.9</v>
      </c>
      <c r="N232" s="242">
        <v>10.1</v>
      </c>
      <c r="O232" s="242">
        <v>10.22</v>
      </c>
      <c r="P232" s="242">
        <v>10.57</v>
      </c>
      <c r="Q232" s="242">
        <v>14.67</v>
      </c>
    </row>
    <row r="233">
      <c r="A233" s="242" t="s">
        <v>471</v>
      </c>
      <c r="B233" s="242" t="s">
        <v>528</v>
      </c>
      <c r="C233" s="242" t="s">
        <v>562</v>
      </c>
      <c r="D233" s="242" t="s">
        <v>477</v>
      </c>
      <c r="E233" s="242" t="s">
        <v>474</v>
      </c>
      <c r="F233" s="417">
        <v>46109.0</v>
      </c>
      <c r="G233" s="242">
        <v>100.0</v>
      </c>
      <c r="H233" s="242">
        <v>10.05</v>
      </c>
      <c r="I233" s="242">
        <v>9.24</v>
      </c>
      <c r="J233" s="242" t="s">
        <v>474</v>
      </c>
      <c r="K233" s="242">
        <v>9.04</v>
      </c>
      <c r="L233" s="242">
        <v>9.28</v>
      </c>
      <c r="M233" s="242">
        <v>9.53</v>
      </c>
      <c r="N233" s="242">
        <v>10.02</v>
      </c>
      <c r="O233" s="242">
        <v>10.06</v>
      </c>
      <c r="P233" s="242">
        <v>10.04</v>
      </c>
      <c r="Q233" s="242">
        <v>14.22</v>
      </c>
    </row>
    <row r="234">
      <c r="A234" s="242" t="s">
        <v>471</v>
      </c>
      <c r="B234" s="242" t="s">
        <v>528</v>
      </c>
      <c r="C234" s="242" t="s">
        <v>563</v>
      </c>
      <c r="D234" s="242"/>
      <c r="E234" s="242" t="s">
        <v>474</v>
      </c>
      <c r="F234" s="417">
        <v>46108.0</v>
      </c>
      <c r="G234" s="242">
        <v>107.3523</v>
      </c>
      <c r="H234" s="242">
        <v>9.36</v>
      </c>
      <c r="I234" s="242">
        <v>9.03</v>
      </c>
      <c r="J234" s="242">
        <v>8.72</v>
      </c>
      <c r="K234" s="242">
        <v>9.09</v>
      </c>
      <c r="L234" s="242">
        <v>9.03</v>
      </c>
      <c r="M234" s="242">
        <v>8.99</v>
      </c>
      <c r="N234" s="242">
        <v>9.28</v>
      </c>
      <c r="O234" s="242">
        <v>9.36</v>
      </c>
      <c r="P234" s="242">
        <v>9.35</v>
      </c>
      <c r="Q234" s="242" t="s">
        <v>474</v>
      </c>
    </row>
    <row r="235">
      <c r="A235" s="242" t="s">
        <v>471</v>
      </c>
      <c r="B235" s="242" t="s">
        <v>564</v>
      </c>
      <c r="C235" s="242" t="s">
        <v>565</v>
      </c>
      <c r="D235" s="242" t="s">
        <v>479</v>
      </c>
      <c r="E235" s="242" t="s">
        <v>474</v>
      </c>
      <c r="F235" s="417">
        <v>46108.0</v>
      </c>
      <c r="G235" s="242">
        <v>10.9574</v>
      </c>
      <c r="H235" s="242">
        <v>8.67</v>
      </c>
      <c r="I235" s="242">
        <v>6.7</v>
      </c>
      <c r="J235" s="242">
        <v>13.98</v>
      </c>
      <c r="K235" s="242">
        <v>7.06</v>
      </c>
      <c r="L235" s="242">
        <v>6.9</v>
      </c>
      <c r="M235" s="242">
        <v>8.29</v>
      </c>
      <c r="N235" s="242">
        <v>8.29</v>
      </c>
      <c r="O235" s="242">
        <v>8.67</v>
      </c>
      <c r="P235" s="242">
        <v>9.53</v>
      </c>
      <c r="Q235" s="242">
        <v>14.21</v>
      </c>
    </row>
    <row r="236">
      <c r="A236" s="242" t="s">
        <v>471</v>
      </c>
      <c r="B236" s="242" t="s">
        <v>564</v>
      </c>
      <c r="C236" s="242" t="s">
        <v>566</v>
      </c>
      <c r="D236" s="242" t="s">
        <v>473</v>
      </c>
      <c r="E236" s="242" t="s">
        <v>474</v>
      </c>
      <c r="F236" s="417">
        <v>46108.0</v>
      </c>
      <c r="G236" s="242">
        <v>10.6304</v>
      </c>
      <c r="H236" s="242">
        <v>8.33</v>
      </c>
      <c r="I236" s="242">
        <v>-1.77</v>
      </c>
      <c r="J236" s="242">
        <v>-129.68</v>
      </c>
      <c r="K236" s="242">
        <v>-8.87</v>
      </c>
      <c r="L236" s="242">
        <v>-1.1</v>
      </c>
      <c r="M236" s="242">
        <v>5.5</v>
      </c>
      <c r="N236" s="242">
        <v>7.37</v>
      </c>
      <c r="O236" s="242">
        <v>8.33</v>
      </c>
      <c r="P236" s="242">
        <v>8.75</v>
      </c>
      <c r="Q236" s="242" t="s">
        <v>474</v>
      </c>
    </row>
    <row r="237">
      <c r="A237" s="242" t="s">
        <v>471</v>
      </c>
      <c r="B237" s="242" t="s">
        <v>564</v>
      </c>
      <c r="C237" s="242" t="s">
        <v>567</v>
      </c>
      <c r="D237" s="242" t="s">
        <v>480</v>
      </c>
      <c r="E237" s="242" t="s">
        <v>474</v>
      </c>
      <c r="F237" s="417">
        <v>46108.0</v>
      </c>
      <c r="G237" s="242">
        <v>55.106</v>
      </c>
      <c r="H237" s="242">
        <v>9.18</v>
      </c>
      <c r="I237" s="242">
        <v>1.09</v>
      </c>
      <c r="J237" s="242">
        <v>20.0</v>
      </c>
      <c r="K237" s="242">
        <v>2.03</v>
      </c>
      <c r="L237" s="242">
        <v>1.65</v>
      </c>
      <c r="M237" s="242">
        <v>7.57</v>
      </c>
      <c r="N237" s="242">
        <v>8.68</v>
      </c>
      <c r="O237" s="242">
        <v>9.18</v>
      </c>
      <c r="P237" s="242">
        <v>11.1</v>
      </c>
      <c r="Q237" s="242">
        <v>14.73</v>
      </c>
    </row>
    <row r="238">
      <c r="A238" s="242" t="s">
        <v>471</v>
      </c>
      <c r="B238" s="242" t="s">
        <v>564</v>
      </c>
      <c r="C238" s="242" t="s">
        <v>568</v>
      </c>
      <c r="D238" s="242" t="s">
        <v>477</v>
      </c>
      <c r="E238" s="242" t="s">
        <v>474</v>
      </c>
      <c r="F238" s="417">
        <v>46110.0</v>
      </c>
      <c r="G238" s="242">
        <v>106.3159</v>
      </c>
      <c r="H238" s="242">
        <v>8.16</v>
      </c>
      <c r="I238" s="242">
        <v>4.45</v>
      </c>
      <c r="J238" s="242">
        <v>7.19</v>
      </c>
      <c r="K238" s="242">
        <v>3.31</v>
      </c>
      <c r="L238" s="242">
        <v>4.56</v>
      </c>
      <c r="M238" s="242">
        <v>7.23</v>
      </c>
      <c r="N238" s="242">
        <v>7.83</v>
      </c>
      <c r="O238" s="242">
        <v>8.18</v>
      </c>
      <c r="P238" s="242">
        <v>9.26</v>
      </c>
      <c r="Q238" s="242">
        <v>14.47</v>
      </c>
    </row>
    <row r="239">
      <c r="A239" s="242" t="s">
        <v>471</v>
      </c>
      <c r="B239" s="242" t="s">
        <v>564</v>
      </c>
      <c r="C239" s="242" t="s">
        <v>569</v>
      </c>
      <c r="D239" s="242" t="s">
        <v>477</v>
      </c>
      <c r="E239" s="242" t="s">
        <v>474</v>
      </c>
      <c r="F239" s="417">
        <v>46110.0</v>
      </c>
      <c r="G239" s="242">
        <v>108.5639</v>
      </c>
      <c r="H239" s="242">
        <v>8.77</v>
      </c>
      <c r="I239" s="242">
        <v>-1.01</v>
      </c>
      <c r="J239" s="242">
        <v>6.97</v>
      </c>
      <c r="K239" s="242">
        <v>-0.6</v>
      </c>
      <c r="L239" s="242">
        <v>-0.73</v>
      </c>
      <c r="M239" s="242">
        <v>6.84</v>
      </c>
      <c r="N239" s="242">
        <v>7.64</v>
      </c>
      <c r="O239" s="242">
        <v>8.67</v>
      </c>
      <c r="P239" s="242">
        <v>10.52</v>
      </c>
      <c r="Q239" s="242">
        <v>14.04</v>
      </c>
    </row>
    <row r="240">
      <c r="A240" s="242" t="s">
        <v>471</v>
      </c>
      <c r="B240" s="242" t="s">
        <v>564</v>
      </c>
      <c r="C240" s="242" t="s">
        <v>570</v>
      </c>
      <c r="D240" s="242" t="s">
        <v>477</v>
      </c>
      <c r="E240" s="242" t="s">
        <v>474</v>
      </c>
      <c r="F240" s="417">
        <v>46107.0</v>
      </c>
      <c r="G240" s="242">
        <v>108.6933</v>
      </c>
      <c r="H240" s="242">
        <v>9.16</v>
      </c>
      <c r="I240" s="242">
        <v>3.11</v>
      </c>
      <c r="J240" s="242">
        <v>-19.49</v>
      </c>
      <c r="K240" s="242">
        <v>-0.03</v>
      </c>
      <c r="L240" s="242">
        <v>3.7</v>
      </c>
      <c r="M240" s="242">
        <v>7.47</v>
      </c>
      <c r="N240" s="242">
        <v>8.58</v>
      </c>
      <c r="O240" s="242">
        <v>9.16</v>
      </c>
      <c r="P240" s="242">
        <v>10.22</v>
      </c>
      <c r="Q240" s="242">
        <v>13.97</v>
      </c>
    </row>
    <row r="241">
      <c r="A241" s="242" t="s">
        <v>471</v>
      </c>
      <c r="B241" s="242" t="s">
        <v>564</v>
      </c>
      <c r="C241" s="242" t="s">
        <v>571</v>
      </c>
      <c r="D241" s="242" t="s">
        <v>477</v>
      </c>
      <c r="E241" s="242" t="s">
        <v>474</v>
      </c>
      <c r="F241" s="417">
        <v>46108.0</v>
      </c>
      <c r="G241" s="242">
        <v>107.1216</v>
      </c>
      <c r="H241" s="242">
        <v>9.09</v>
      </c>
      <c r="I241" s="242">
        <v>2.25</v>
      </c>
      <c r="J241" s="242">
        <v>-17.7</v>
      </c>
      <c r="K241" s="242">
        <v>-2.07</v>
      </c>
      <c r="L241" s="242">
        <v>3.04</v>
      </c>
      <c r="M241" s="242">
        <v>7.08</v>
      </c>
      <c r="N241" s="242">
        <v>8.37</v>
      </c>
      <c r="O241" s="242">
        <v>9.13</v>
      </c>
      <c r="P241" s="242">
        <v>10.11</v>
      </c>
      <c r="Q241" s="242">
        <v>13.88</v>
      </c>
    </row>
    <row r="242">
      <c r="A242" s="242" t="s">
        <v>471</v>
      </c>
      <c r="B242" s="242" t="s">
        <v>564</v>
      </c>
      <c r="C242" s="242" t="s">
        <v>572</v>
      </c>
      <c r="D242" s="242" t="s">
        <v>480</v>
      </c>
      <c r="E242" s="242" t="s">
        <v>474</v>
      </c>
      <c r="F242" s="417">
        <v>46108.0</v>
      </c>
      <c r="G242" s="242">
        <v>109.8452</v>
      </c>
      <c r="H242" s="242">
        <v>8.39</v>
      </c>
      <c r="I242" s="242">
        <v>0.49</v>
      </c>
      <c r="J242" s="242">
        <v>31.5</v>
      </c>
      <c r="K242" s="242">
        <v>-2.12</v>
      </c>
      <c r="L242" s="242">
        <v>1.28</v>
      </c>
      <c r="M242" s="242">
        <v>6.22</v>
      </c>
      <c r="N242" s="242">
        <v>7.47</v>
      </c>
      <c r="O242" s="242">
        <v>8.39</v>
      </c>
      <c r="P242" s="242">
        <v>9.32</v>
      </c>
      <c r="Q242" s="242">
        <v>13.34</v>
      </c>
    </row>
    <row r="243">
      <c r="A243" s="242" t="s">
        <v>471</v>
      </c>
      <c r="B243" s="242" t="s">
        <v>564</v>
      </c>
      <c r="C243" s="242" t="s">
        <v>573</v>
      </c>
      <c r="D243" s="242" t="s">
        <v>473</v>
      </c>
      <c r="E243" s="242" t="s">
        <v>474</v>
      </c>
      <c r="F243" s="417">
        <v>46108.0</v>
      </c>
      <c r="G243" s="242">
        <v>97.754</v>
      </c>
      <c r="H243" s="242">
        <v>3.08</v>
      </c>
      <c r="I243" s="242">
        <v>-28.78</v>
      </c>
      <c r="J243" s="242">
        <v>24.2</v>
      </c>
      <c r="K243" s="242">
        <v>7.99</v>
      </c>
      <c r="L243" s="242">
        <v>-24.82</v>
      </c>
      <c r="M243" s="242">
        <v>-9.55</v>
      </c>
      <c r="N243" s="242">
        <v>-0.03</v>
      </c>
      <c r="O243" s="242">
        <v>3.08</v>
      </c>
      <c r="P243" s="242">
        <v>5.58</v>
      </c>
      <c r="Q243" s="242">
        <v>10.78</v>
      </c>
    </row>
    <row r="244">
      <c r="A244" s="242" t="s">
        <v>471</v>
      </c>
      <c r="B244" s="242" t="s">
        <v>564</v>
      </c>
      <c r="C244" s="242" t="s">
        <v>574</v>
      </c>
      <c r="D244" s="242" t="s">
        <v>473</v>
      </c>
      <c r="E244" s="242" t="s">
        <v>474</v>
      </c>
      <c r="F244" s="417">
        <v>46108.0</v>
      </c>
      <c r="G244" s="242">
        <v>116.0711</v>
      </c>
      <c r="H244" s="242">
        <v>7.45</v>
      </c>
      <c r="I244" s="242">
        <v>-7.65</v>
      </c>
      <c r="J244" s="242">
        <v>-19.93</v>
      </c>
      <c r="K244" s="242">
        <v>-9.63</v>
      </c>
      <c r="L244" s="242">
        <v>-6.61</v>
      </c>
      <c r="M244" s="242">
        <v>4.05</v>
      </c>
      <c r="N244" s="242">
        <v>6.35</v>
      </c>
      <c r="O244" s="242">
        <v>7.45</v>
      </c>
      <c r="P244" s="242">
        <v>9.2</v>
      </c>
      <c r="Q244" s="242">
        <v>12.51</v>
      </c>
    </row>
    <row r="245">
      <c r="A245" s="242" t="s">
        <v>471</v>
      </c>
      <c r="B245" s="242" t="s">
        <v>564</v>
      </c>
      <c r="C245" s="242" t="s">
        <v>575</v>
      </c>
      <c r="D245" s="242" t="s">
        <v>473</v>
      </c>
      <c r="E245" s="242" t="s">
        <v>474</v>
      </c>
      <c r="F245" s="417">
        <v>46108.0</v>
      </c>
      <c r="G245" s="242">
        <v>106.2428</v>
      </c>
      <c r="H245" s="242">
        <v>8.24</v>
      </c>
      <c r="I245" s="242">
        <v>-8.73</v>
      </c>
      <c r="J245" s="242">
        <v>9.23</v>
      </c>
      <c r="K245" s="242">
        <v>-8.68</v>
      </c>
      <c r="L245" s="242">
        <v>-7.23</v>
      </c>
      <c r="M245" s="242">
        <v>3.51</v>
      </c>
      <c r="N245" s="242">
        <v>7.12</v>
      </c>
      <c r="O245" s="242">
        <v>8.24</v>
      </c>
      <c r="P245" s="242">
        <v>9.53</v>
      </c>
      <c r="Q245" s="242" t="s">
        <v>474</v>
      </c>
    </row>
    <row r="246">
      <c r="A246" s="242" t="s">
        <v>471</v>
      </c>
      <c r="B246" s="242" t="s">
        <v>564</v>
      </c>
      <c r="C246" s="242" t="s">
        <v>576</v>
      </c>
      <c r="D246" s="242" t="s">
        <v>480</v>
      </c>
      <c r="E246" s="242" t="s">
        <v>474</v>
      </c>
      <c r="F246" s="417">
        <v>46108.0</v>
      </c>
      <c r="G246" s="242">
        <v>100.0</v>
      </c>
      <c r="H246" s="242">
        <v>9.21</v>
      </c>
      <c r="I246" s="242">
        <v>8.37</v>
      </c>
      <c r="J246" s="242">
        <v>8.43</v>
      </c>
      <c r="K246" s="242">
        <v>8.4</v>
      </c>
      <c r="L246" s="242">
        <v>8.35</v>
      </c>
      <c r="M246" s="242">
        <v>8.56</v>
      </c>
      <c r="N246" s="242">
        <v>8.89</v>
      </c>
      <c r="O246" s="242">
        <v>9.22</v>
      </c>
      <c r="P246" s="242">
        <v>9.77</v>
      </c>
      <c r="Q246" s="242">
        <v>13.6</v>
      </c>
    </row>
    <row r="247">
      <c r="A247" s="242" t="s">
        <v>471</v>
      </c>
      <c r="B247" s="242" t="s">
        <v>564</v>
      </c>
      <c r="C247" s="242" t="s">
        <v>577</v>
      </c>
      <c r="D247" s="242" t="s">
        <v>477</v>
      </c>
      <c r="E247" s="242" t="s">
        <v>474</v>
      </c>
      <c r="F247" s="417">
        <v>46108.0</v>
      </c>
      <c r="G247" s="242">
        <v>105.8598</v>
      </c>
      <c r="H247" s="242">
        <v>7.63</v>
      </c>
      <c r="I247" s="242">
        <v>-6.65</v>
      </c>
      <c r="J247" s="242">
        <v>-5.66</v>
      </c>
      <c r="K247" s="242">
        <v>-8.79</v>
      </c>
      <c r="L247" s="242">
        <v>-5.29</v>
      </c>
      <c r="M247" s="242">
        <v>3.6</v>
      </c>
      <c r="N247" s="242">
        <v>6.09</v>
      </c>
      <c r="O247" s="242">
        <v>7.63</v>
      </c>
      <c r="P247" s="242">
        <v>8.92</v>
      </c>
      <c r="Q247" s="242" t="s">
        <v>474</v>
      </c>
    </row>
    <row r="248">
      <c r="A248" s="242" t="s">
        <v>471</v>
      </c>
      <c r="B248" s="242" t="s">
        <v>564</v>
      </c>
      <c r="C248" s="242" t="s">
        <v>578</v>
      </c>
      <c r="D248" s="242" t="s">
        <v>477</v>
      </c>
      <c r="E248" s="242" t="s">
        <v>474</v>
      </c>
      <c r="F248" s="417">
        <v>46108.0</v>
      </c>
      <c r="G248" s="242">
        <v>110.2665</v>
      </c>
      <c r="H248" s="242">
        <v>7.75</v>
      </c>
      <c r="I248" s="242">
        <v>-11.06</v>
      </c>
      <c r="J248" s="242">
        <v>-36.76</v>
      </c>
      <c r="K248" s="242">
        <v>-14.44</v>
      </c>
      <c r="L248" s="242">
        <v>-8.98</v>
      </c>
      <c r="M248" s="242">
        <v>3.65</v>
      </c>
      <c r="N248" s="242">
        <v>6.57</v>
      </c>
      <c r="O248" s="242">
        <v>7.75</v>
      </c>
      <c r="P248" s="242">
        <v>9.32</v>
      </c>
      <c r="Q248" s="242">
        <v>13.89</v>
      </c>
    </row>
    <row r="249">
      <c r="A249" s="242" t="s">
        <v>471</v>
      </c>
      <c r="B249" s="242" t="s">
        <v>564</v>
      </c>
      <c r="C249" s="242" t="s">
        <v>579</v>
      </c>
      <c r="D249" s="242" t="s">
        <v>480</v>
      </c>
      <c r="E249" s="242" t="s">
        <v>474</v>
      </c>
      <c r="F249" s="417">
        <v>46108.0</v>
      </c>
      <c r="G249" s="242">
        <v>550.9885</v>
      </c>
      <c r="H249" s="242">
        <v>9.55</v>
      </c>
      <c r="I249" s="242">
        <v>6.76</v>
      </c>
      <c r="J249" s="242">
        <v>12.56</v>
      </c>
      <c r="K249" s="242">
        <v>6.88</v>
      </c>
      <c r="L249" s="242">
        <v>7.0</v>
      </c>
      <c r="M249" s="242">
        <v>8.4</v>
      </c>
      <c r="N249" s="242">
        <v>9.09</v>
      </c>
      <c r="O249" s="242">
        <v>9.55</v>
      </c>
      <c r="P249" s="242">
        <v>10.28</v>
      </c>
      <c r="Q249" s="242">
        <v>14.63</v>
      </c>
    </row>
    <row r="250">
      <c r="A250" s="242" t="s">
        <v>471</v>
      </c>
      <c r="B250" s="242" t="s">
        <v>564</v>
      </c>
      <c r="C250" s="242" t="s">
        <v>580</v>
      </c>
      <c r="D250" s="242" t="s">
        <v>479</v>
      </c>
      <c r="E250" s="242" t="s">
        <v>474</v>
      </c>
      <c r="F250" s="417">
        <v>46108.0</v>
      </c>
      <c r="G250" s="242">
        <v>113.3049</v>
      </c>
      <c r="H250" s="242">
        <v>9.86</v>
      </c>
      <c r="I250" s="242">
        <v>7.77</v>
      </c>
      <c r="J250" s="242">
        <v>0.04</v>
      </c>
      <c r="K250" s="242">
        <v>7.64</v>
      </c>
      <c r="L250" s="242">
        <v>7.9</v>
      </c>
      <c r="M250" s="242">
        <v>9.09</v>
      </c>
      <c r="N250" s="242">
        <v>9.52</v>
      </c>
      <c r="O250" s="242">
        <v>9.86</v>
      </c>
      <c r="P250" s="242">
        <v>10.45</v>
      </c>
      <c r="Q250" s="242">
        <v>15.13</v>
      </c>
    </row>
    <row r="251">
      <c r="A251" s="242" t="s">
        <v>471</v>
      </c>
      <c r="B251" s="242" t="s">
        <v>564</v>
      </c>
      <c r="C251" s="242" t="s">
        <v>581</v>
      </c>
      <c r="E251" s="242" t="s">
        <v>474</v>
      </c>
      <c r="F251" s="417">
        <v>46108.0</v>
      </c>
      <c r="G251" s="242">
        <v>103.4954</v>
      </c>
      <c r="H251" s="242">
        <v>10.39</v>
      </c>
      <c r="I251" s="242">
        <v>9.65</v>
      </c>
      <c r="J251" s="242">
        <v>10.4</v>
      </c>
      <c r="K251" s="242">
        <v>9.61</v>
      </c>
      <c r="L251" s="242">
        <v>9.54</v>
      </c>
      <c r="M251" s="242">
        <v>9.82</v>
      </c>
      <c r="N251" s="242">
        <v>10.14</v>
      </c>
      <c r="O251" s="242">
        <v>10.32</v>
      </c>
      <c r="P251" s="242" t="s">
        <v>474</v>
      </c>
      <c r="Q251" s="242" t="s">
        <v>474</v>
      </c>
    </row>
    <row r="252">
      <c r="A252" s="242" t="s">
        <v>471</v>
      </c>
      <c r="B252" s="242" t="s">
        <v>564</v>
      </c>
      <c r="C252" s="242" t="s">
        <v>582</v>
      </c>
      <c r="D252" s="242"/>
      <c r="E252" s="242" t="s">
        <v>474</v>
      </c>
      <c r="F252" s="417">
        <v>46108.0</v>
      </c>
      <c r="G252" s="242">
        <v>102.45</v>
      </c>
      <c r="H252" s="242">
        <v>9.19</v>
      </c>
      <c r="I252" s="242">
        <v>8.27</v>
      </c>
      <c r="J252" s="242">
        <v>9.13</v>
      </c>
      <c r="K252" s="242">
        <v>8.24</v>
      </c>
      <c r="L252" s="242">
        <v>8.43</v>
      </c>
      <c r="M252" s="242">
        <v>8.96</v>
      </c>
      <c r="N252" s="242" t="s">
        <v>474</v>
      </c>
      <c r="O252" s="242" t="s">
        <v>474</v>
      </c>
      <c r="P252" s="242" t="s">
        <v>474</v>
      </c>
      <c r="Q252" s="242" t="s">
        <v>474</v>
      </c>
    </row>
    <row r="253">
      <c r="A253" s="242" t="s">
        <v>471</v>
      </c>
      <c r="B253" s="242" t="s">
        <v>564</v>
      </c>
      <c r="C253" s="242" t="s">
        <v>583</v>
      </c>
      <c r="D253" s="242" t="s">
        <v>479</v>
      </c>
      <c r="E253" s="242" t="s">
        <v>474</v>
      </c>
      <c r="F253" s="417">
        <v>46108.0</v>
      </c>
      <c r="G253" s="242">
        <v>111.946</v>
      </c>
      <c r="H253" s="242">
        <v>8.16</v>
      </c>
      <c r="I253" s="242">
        <v>6.06</v>
      </c>
      <c r="J253" s="242">
        <v>26.46</v>
      </c>
      <c r="K253" s="242">
        <v>7.23</v>
      </c>
      <c r="L253" s="242">
        <v>6.43</v>
      </c>
      <c r="M253" s="242">
        <v>7.38</v>
      </c>
      <c r="N253" s="242">
        <v>7.88</v>
      </c>
      <c r="O253" s="242">
        <v>8.16</v>
      </c>
      <c r="P253" s="242">
        <v>9.28</v>
      </c>
      <c r="Q253" s="242">
        <v>13.92</v>
      </c>
    </row>
    <row r="254">
      <c r="A254" s="242" t="s">
        <v>471</v>
      </c>
      <c r="B254" s="242" t="s">
        <v>564</v>
      </c>
      <c r="C254" s="242" t="s">
        <v>584</v>
      </c>
      <c r="D254" s="242" t="s">
        <v>477</v>
      </c>
      <c r="E254" s="242" t="s">
        <v>474</v>
      </c>
      <c r="F254" s="417">
        <v>46108.0</v>
      </c>
      <c r="G254" s="242">
        <v>106.0106</v>
      </c>
      <c r="H254" s="242">
        <v>7.01</v>
      </c>
      <c r="I254" s="242">
        <v>4.92</v>
      </c>
      <c r="J254" s="242">
        <v>42.34</v>
      </c>
      <c r="K254" s="242">
        <v>7.9</v>
      </c>
      <c r="L254" s="242">
        <v>5.52</v>
      </c>
      <c r="M254" s="242">
        <v>7.17</v>
      </c>
      <c r="N254" s="242">
        <v>5.81</v>
      </c>
      <c r="O254" s="242">
        <v>7.01</v>
      </c>
      <c r="P254" s="242">
        <v>8.9</v>
      </c>
      <c r="Q254" s="242">
        <v>12.2</v>
      </c>
    </row>
    <row r="255">
      <c r="A255" s="242" t="s">
        <v>471</v>
      </c>
      <c r="B255" s="242" t="s">
        <v>564</v>
      </c>
      <c r="C255" s="242" t="s">
        <v>585</v>
      </c>
      <c r="D255" s="242" t="s">
        <v>477</v>
      </c>
      <c r="E255" s="242" t="s">
        <v>474</v>
      </c>
      <c r="F255" s="417">
        <v>46108.0</v>
      </c>
      <c r="G255" s="242">
        <v>105.5011</v>
      </c>
      <c r="H255" s="242">
        <v>6.81</v>
      </c>
      <c r="I255" s="242">
        <v>7.49</v>
      </c>
      <c r="J255" s="242">
        <v>41.79</v>
      </c>
      <c r="K255" s="242">
        <v>9.26</v>
      </c>
      <c r="L255" s="242">
        <v>7.78</v>
      </c>
      <c r="M255" s="242">
        <v>7.04</v>
      </c>
      <c r="N255" s="242">
        <v>6.45</v>
      </c>
      <c r="O255" s="242">
        <v>6.81</v>
      </c>
      <c r="P255" s="242">
        <v>8.47</v>
      </c>
      <c r="Q255" s="242">
        <v>12.63</v>
      </c>
    </row>
    <row r="256">
      <c r="A256" s="242" t="s">
        <v>471</v>
      </c>
      <c r="B256" s="242" t="s">
        <v>564</v>
      </c>
      <c r="C256" s="242" t="s">
        <v>586</v>
      </c>
      <c r="D256" s="242" t="s">
        <v>477</v>
      </c>
      <c r="E256" s="242" t="s">
        <v>474</v>
      </c>
      <c r="F256" s="417">
        <v>46109.0</v>
      </c>
      <c r="G256" s="242">
        <v>10.7674</v>
      </c>
      <c r="H256" s="242">
        <v>8.98</v>
      </c>
      <c r="I256" s="242">
        <v>2.86</v>
      </c>
      <c r="J256" s="242">
        <v>10.84</v>
      </c>
      <c r="K256" s="242">
        <v>4.73</v>
      </c>
      <c r="L256" s="242">
        <v>3.46</v>
      </c>
      <c r="M256" s="242">
        <v>7.36</v>
      </c>
      <c r="N256" s="242">
        <v>8.2</v>
      </c>
      <c r="O256" s="242">
        <v>8.98</v>
      </c>
      <c r="P256" s="242">
        <v>10.42</v>
      </c>
      <c r="Q256" s="242">
        <v>13.65</v>
      </c>
    </row>
    <row r="257">
      <c r="A257" s="242" t="s">
        <v>471</v>
      </c>
      <c r="B257" s="242" t="s">
        <v>564</v>
      </c>
      <c r="C257" s="242" t="s">
        <v>587</v>
      </c>
      <c r="D257" s="242" t="s">
        <v>479</v>
      </c>
      <c r="E257" s="242" t="s">
        <v>474</v>
      </c>
      <c r="F257" s="417">
        <v>46108.0</v>
      </c>
      <c r="G257" s="242">
        <v>111.4126</v>
      </c>
      <c r="H257" s="242">
        <v>9.55</v>
      </c>
      <c r="I257" s="242">
        <v>5.11</v>
      </c>
      <c r="J257" s="242">
        <v>9.78</v>
      </c>
      <c r="K257" s="242">
        <v>5.47</v>
      </c>
      <c r="L257" s="242">
        <v>5.11</v>
      </c>
      <c r="M257" s="242">
        <v>8.61</v>
      </c>
      <c r="N257" s="242">
        <v>9.15</v>
      </c>
      <c r="O257" s="242">
        <v>9.55</v>
      </c>
      <c r="P257" s="242">
        <v>10.07</v>
      </c>
      <c r="Q257" s="242">
        <v>13.68</v>
      </c>
    </row>
    <row r="258">
      <c r="A258" s="242" t="s">
        <v>471</v>
      </c>
      <c r="B258" s="242" t="s">
        <v>564</v>
      </c>
      <c r="C258" s="242" t="s">
        <v>588</v>
      </c>
      <c r="D258" s="242" t="s">
        <v>480</v>
      </c>
      <c r="E258" s="242" t="s">
        <v>474</v>
      </c>
      <c r="F258" s="417">
        <v>46108.0</v>
      </c>
      <c r="G258" s="242">
        <v>111.6391</v>
      </c>
      <c r="H258" s="242">
        <v>6.47</v>
      </c>
      <c r="I258" s="242">
        <v>-11.42</v>
      </c>
      <c r="J258" s="242">
        <v>8.98</v>
      </c>
      <c r="K258" s="242">
        <v>-21.75</v>
      </c>
      <c r="L258" s="242">
        <v>-10.06</v>
      </c>
      <c r="M258" s="242">
        <v>0.32</v>
      </c>
      <c r="N258" s="242">
        <v>5.37</v>
      </c>
      <c r="O258" s="242">
        <v>6.47</v>
      </c>
      <c r="P258" s="242">
        <v>7.37</v>
      </c>
      <c r="Q258" s="242">
        <v>11.85</v>
      </c>
    </row>
    <row r="259">
      <c r="A259" s="242" t="s">
        <v>471</v>
      </c>
      <c r="B259" s="242" t="s">
        <v>564</v>
      </c>
      <c r="C259" s="242" t="s">
        <v>589</v>
      </c>
      <c r="D259" s="242" t="s">
        <v>477</v>
      </c>
      <c r="E259" s="242" t="s">
        <v>474</v>
      </c>
      <c r="F259" s="417">
        <v>46108.0</v>
      </c>
      <c r="G259" s="242">
        <v>107.7149</v>
      </c>
      <c r="H259" s="242">
        <v>10.26</v>
      </c>
      <c r="I259" s="242">
        <v>8.37</v>
      </c>
      <c r="J259" s="242">
        <v>11.24</v>
      </c>
      <c r="K259" s="242">
        <v>8.62</v>
      </c>
      <c r="L259" s="242">
        <v>8.49</v>
      </c>
      <c r="M259" s="242">
        <v>9.38</v>
      </c>
      <c r="N259" s="242">
        <v>9.99</v>
      </c>
      <c r="O259" s="242">
        <v>10.26</v>
      </c>
      <c r="P259" s="242" t="s">
        <v>474</v>
      </c>
      <c r="Q259" s="242" t="s">
        <v>474</v>
      </c>
    </row>
    <row r="260">
      <c r="A260" s="242" t="s">
        <v>471</v>
      </c>
      <c r="B260" s="242" t="s">
        <v>564</v>
      </c>
      <c r="C260" s="242" t="s">
        <v>590</v>
      </c>
      <c r="D260" s="242" t="s">
        <v>480</v>
      </c>
      <c r="E260" s="242" t="s">
        <v>474</v>
      </c>
      <c r="F260" s="417">
        <v>46107.0</v>
      </c>
      <c r="G260" s="242">
        <v>50.0</v>
      </c>
      <c r="H260" s="242">
        <v>9.12</v>
      </c>
      <c r="I260" s="242">
        <v>7.92</v>
      </c>
      <c r="J260" s="242">
        <v>6.79</v>
      </c>
      <c r="K260" s="242">
        <v>7.34</v>
      </c>
      <c r="L260" s="242">
        <v>7.98</v>
      </c>
      <c r="M260" s="242">
        <v>8.51</v>
      </c>
      <c r="N260" s="242">
        <v>8.89</v>
      </c>
      <c r="O260" s="242">
        <v>9.12</v>
      </c>
      <c r="P260" s="242">
        <v>9.51</v>
      </c>
      <c r="Q260" s="242">
        <v>13.58</v>
      </c>
    </row>
    <row r="261">
      <c r="A261" s="242" t="s">
        <v>471</v>
      </c>
      <c r="B261" s="242" t="s">
        <v>564</v>
      </c>
      <c r="C261" s="242" t="s">
        <v>591</v>
      </c>
      <c r="E261" s="242" t="s">
        <v>474</v>
      </c>
      <c r="F261" s="417">
        <v>46108.0</v>
      </c>
      <c r="G261" s="242">
        <v>50.0</v>
      </c>
      <c r="H261" s="242">
        <v>9.07</v>
      </c>
      <c r="I261" s="242">
        <v>8.4</v>
      </c>
      <c r="J261" s="242">
        <v>8.54</v>
      </c>
      <c r="K261" s="242">
        <v>8.67</v>
      </c>
      <c r="L261" s="242">
        <v>8.37</v>
      </c>
      <c r="M261" s="242">
        <v>8.53</v>
      </c>
      <c r="N261" s="242">
        <v>9.06</v>
      </c>
      <c r="O261" s="242">
        <v>9.07</v>
      </c>
      <c r="P261" s="242">
        <v>9.17</v>
      </c>
      <c r="Q261" s="242">
        <v>12.16</v>
      </c>
    </row>
    <row r="262">
      <c r="A262" s="242" t="s">
        <v>471</v>
      </c>
      <c r="B262" s="242" t="s">
        <v>564</v>
      </c>
      <c r="C262" s="242" t="s">
        <v>592</v>
      </c>
      <c r="E262" s="242" t="s">
        <v>474</v>
      </c>
      <c r="F262" s="417">
        <v>46108.0</v>
      </c>
      <c r="G262" s="242">
        <v>53.998</v>
      </c>
      <c r="H262" s="242">
        <v>9.71</v>
      </c>
      <c r="I262" s="242">
        <v>8.57</v>
      </c>
      <c r="J262" s="242">
        <v>6.68</v>
      </c>
      <c r="K262" s="242">
        <v>8.18</v>
      </c>
      <c r="L262" s="242">
        <v>8.64</v>
      </c>
      <c r="M262" s="242">
        <v>9.17</v>
      </c>
      <c r="N262" s="242">
        <v>9.51</v>
      </c>
      <c r="O262" s="242">
        <v>9.71</v>
      </c>
      <c r="P262" s="242">
        <v>10.09</v>
      </c>
      <c r="Q262" s="242">
        <v>13.51</v>
      </c>
    </row>
    <row r="263">
      <c r="A263" s="242" t="s">
        <v>471</v>
      </c>
      <c r="B263" s="242" t="s">
        <v>564</v>
      </c>
      <c r="C263" s="242" t="s">
        <v>593</v>
      </c>
      <c r="E263" s="242" t="s">
        <v>474</v>
      </c>
      <c r="F263" s="417">
        <v>46109.0</v>
      </c>
      <c r="G263" s="242">
        <v>53.5362</v>
      </c>
      <c r="H263" s="242">
        <v>8.18</v>
      </c>
      <c r="I263" s="242">
        <v>7.9</v>
      </c>
      <c r="J263" s="242">
        <v>15.77</v>
      </c>
      <c r="K263" s="242">
        <v>8.16</v>
      </c>
      <c r="L263" s="242">
        <v>7.85</v>
      </c>
      <c r="M263" s="242">
        <v>7.79</v>
      </c>
      <c r="N263" s="242">
        <v>8.02</v>
      </c>
      <c r="O263" s="242">
        <v>8.18</v>
      </c>
      <c r="P263" s="242">
        <v>8.11</v>
      </c>
      <c r="Q263" s="242">
        <v>11.39</v>
      </c>
    </row>
    <row r="264">
      <c r="A264" s="242" t="s">
        <v>471</v>
      </c>
      <c r="B264" s="242" t="s">
        <v>564</v>
      </c>
      <c r="C264" s="242" t="s">
        <v>594</v>
      </c>
      <c r="D264" s="242"/>
      <c r="E264" s="242" t="s">
        <v>474</v>
      </c>
      <c r="F264" s="417">
        <v>46108.0</v>
      </c>
      <c r="G264" s="242">
        <v>53.6859</v>
      </c>
      <c r="H264" s="242">
        <v>8.91</v>
      </c>
      <c r="I264" s="242">
        <v>7.01</v>
      </c>
      <c r="J264" s="242">
        <v>3.25</v>
      </c>
      <c r="K264" s="242">
        <v>6.53</v>
      </c>
      <c r="L264" s="242">
        <v>7.02</v>
      </c>
      <c r="M264" s="242">
        <v>8.07</v>
      </c>
      <c r="N264" s="242">
        <v>8.73</v>
      </c>
      <c r="O264" s="242">
        <v>8.91</v>
      </c>
      <c r="P264" s="242">
        <v>9.13</v>
      </c>
      <c r="Q264" s="242" t="s">
        <v>474</v>
      </c>
    </row>
    <row r="265">
      <c r="A265" s="242" t="s">
        <v>471</v>
      </c>
      <c r="B265" s="242" t="s">
        <v>564</v>
      </c>
      <c r="C265" s="242" t="s">
        <v>595</v>
      </c>
      <c r="D265" s="242" t="s">
        <v>479</v>
      </c>
      <c r="E265" s="242" t="s">
        <v>474</v>
      </c>
      <c r="F265" s="417">
        <v>46107.0</v>
      </c>
      <c r="G265" s="242">
        <v>55.1605</v>
      </c>
      <c r="H265" s="242">
        <v>8.86</v>
      </c>
      <c r="I265" s="242">
        <v>7.14</v>
      </c>
      <c r="J265" s="242">
        <v>5.15</v>
      </c>
      <c r="K265" s="242">
        <v>6.99</v>
      </c>
      <c r="L265" s="242">
        <v>7.38</v>
      </c>
      <c r="M265" s="242">
        <v>8.33</v>
      </c>
      <c r="N265" s="242">
        <v>8.7</v>
      </c>
      <c r="O265" s="242">
        <v>8.12</v>
      </c>
      <c r="P265" s="242">
        <v>8.65</v>
      </c>
      <c r="Q265" s="242">
        <v>13.01</v>
      </c>
    </row>
    <row r="266">
      <c r="A266" s="242" t="s">
        <v>471</v>
      </c>
      <c r="B266" s="242" t="s">
        <v>564</v>
      </c>
      <c r="C266" s="242" t="s">
        <v>596</v>
      </c>
      <c r="D266" s="242" t="s">
        <v>477</v>
      </c>
      <c r="E266" s="242" t="s">
        <v>474</v>
      </c>
      <c r="F266" s="417">
        <v>46108.0</v>
      </c>
      <c r="G266" s="242">
        <v>55.4711</v>
      </c>
      <c r="H266" s="242">
        <v>8.27</v>
      </c>
      <c r="I266" s="242">
        <v>6.79</v>
      </c>
      <c r="J266" s="242">
        <v>1.72</v>
      </c>
      <c r="K266" s="242">
        <v>10.04</v>
      </c>
      <c r="L266" s="242">
        <v>6.97</v>
      </c>
      <c r="M266" s="242">
        <v>7.34</v>
      </c>
      <c r="N266" s="242">
        <v>8.18</v>
      </c>
      <c r="O266" s="242">
        <v>8.27</v>
      </c>
      <c r="P266" s="242">
        <v>8.18</v>
      </c>
      <c r="Q266" s="242">
        <v>12.33</v>
      </c>
    </row>
    <row r="267">
      <c r="A267" s="242" t="s">
        <v>471</v>
      </c>
      <c r="B267" s="242" t="s">
        <v>564</v>
      </c>
      <c r="C267" s="242" t="s">
        <v>597</v>
      </c>
      <c r="D267" s="242"/>
      <c r="E267" s="242" t="s">
        <v>474</v>
      </c>
      <c r="F267" s="417">
        <v>46108.0</v>
      </c>
      <c r="G267" s="242">
        <v>10.6008</v>
      </c>
      <c r="H267" s="242">
        <v>7.5</v>
      </c>
      <c r="I267" s="242">
        <v>1.71</v>
      </c>
      <c r="J267" s="242">
        <v>-22.37</v>
      </c>
      <c r="K267" s="242">
        <v>2.83</v>
      </c>
      <c r="L267" s="242">
        <v>2.2</v>
      </c>
      <c r="M267" s="242">
        <v>5.23</v>
      </c>
      <c r="N267" s="242">
        <v>6.74</v>
      </c>
      <c r="O267" s="242">
        <v>7.5</v>
      </c>
      <c r="P267" s="242">
        <v>8.51</v>
      </c>
      <c r="Q267" s="242">
        <v>13.88</v>
      </c>
    </row>
    <row r="268">
      <c r="A268" s="242" t="s">
        <v>471</v>
      </c>
      <c r="B268" s="242" t="s">
        <v>564</v>
      </c>
      <c r="C268" s="242" t="s">
        <v>598</v>
      </c>
      <c r="D268" s="242" t="s">
        <v>479</v>
      </c>
      <c r="E268" s="242" t="s">
        <v>474</v>
      </c>
      <c r="F268" s="417">
        <v>46108.0</v>
      </c>
      <c r="G268" s="242">
        <v>10.7619</v>
      </c>
      <c r="H268" s="242">
        <v>8.36</v>
      </c>
      <c r="I268" s="242">
        <v>6.23</v>
      </c>
      <c r="J268" s="242">
        <v>-2.7</v>
      </c>
      <c r="K268" s="242">
        <v>5.98</v>
      </c>
      <c r="L268" s="242">
        <v>6.44</v>
      </c>
      <c r="M268" s="242">
        <v>7.49</v>
      </c>
      <c r="N268" s="242">
        <v>8.23</v>
      </c>
      <c r="O268" s="242">
        <v>8.36</v>
      </c>
      <c r="P268" s="242">
        <v>8.94</v>
      </c>
      <c r="Q268" s="242">
        <v>13.29</v>
      </c>
    </row>
    <row r="269">
      <c r="A269" s="242" t="s">
        <v>471</v>
      </c>
      <c r="B269" s="242" t="s">
        <v>564</v>
      </c>
      <c r="C269" s="242" t="s">
        <v>599</v>
      </c>
      <c r="D269" s="242" t="s">
        <v>479</v>
      </c>
      <c r="E269" s="242" t="s">
        <v>474</v>
      </c>
      <c r="F269" s="417">
        <v>46108.0</v>
      </c>
      <c r="G269" s="242">
        <v>10.805</v>
      </c>
      <c r="H269" s="242">
        <v>9.14</v>
      </c>
      <c r="I269" s="242">
        <v>7.68</v>
      </c>
      <c r="J269" s="242">
        <v>3.72</v>
      </c>
      <c r="K269" s="242">
        <v>7.52</v>
      </c>
      <c r="L269" s="242">
        <v>7.75</v>
      </c>
      <c r="M269" s="242">
        <v>8.5</v>
      </c>
      <c r="N269" s="242">
        <v>8.97</v>
      </c>
      <c r="O269" s="242">
        <v>9.14</v>
      </c>
      <c r="P269" s="242">
        <v>9.42</v>
      </c>
      <c r="Q269" s="242">
        <v>13.72</v>
      </c>
    </row>
    <row r="270">
      <c r="A270" s="242" t="s">
        <v>471</v>
      </c>
      <c r="B270" s="242" t="s">
        <v>564</v>
      </c>
      <c r="C270" s="242" t="s">
        <v>600</v>
      </c>
      <c r="D270" s="242" t="s">
        <v>480</v>
      </c>
      <c r="E270" s="242" t="s">
        <v>474</v>
      </c>
      <c r="F270" s="417">
        <v>46109.0</v>
      </c>
      <c r="G270" s="242">
        <v>10.2544</v>
      </c>
      <c r="H270" s="242">
        <v>9.22</v>
      </c>
      <c r="I270" s="242">
        <v>8.58</v>
      </c>
      <c r="J270" s="242">
        <v>8.54</v>
      </c>
      <c r="K270" s="242">
        <v>8.57</v>
      </c>
      <c r="L270" s="242">
        <v>8.59</v>
      </c>
      <c r="M270" s="242">
        <v>8.78</v>
      </c>
      <c r="N270" s="242">
        <v>9.02</v>
      </c>
      <c r="O270" s="242">
        <v>9.22</v>
      </c>
      <c r="P270" s="242">
        <v>9.57</v>
      </c>
      <c r="Q270" s="242">
        <v>13.94</v>
      </c>
    </row>
    <row r="271">
      <c r="A271" s="242" t="s">
        <v>471</v>
      </c>
      <c r="B271" s="242" t="s">
        <v>564</v>
      </c>
      <c r="C271" s="242" t="s">
        <v>601</v>
      </c>
      <c r="D271" s="242" t="s">
        <v>479</v>
      </c>
      <c r="E271" s="242" t="s">
        <v>474</v>
      </c>
      <c r="F271" s="417">
        <v>46108.0</v>
      </c>
      <c r="G271" s="242">
        <v>11.0907</v>
      </c>
      <c r="H271" s="242">
        <v>9.7</v>
      </c>
      <c r="I271" s="242">
        <v>9.01</v>
      </c>
      <c r="J271" s="242">
        <v>9.23</v>
      </c>
      <c r="K271" s="242">
        <v>9.03</v>
      </c>
      <c r="L271" s="242">
        <v>9.02</v>
      </c>
      <c r="M271" s="242">
        <v>9.24</v>
      </c>
      <c r="N271" s="242">
        <v>9.53</v>
      </c>
      <c r="O271" s="242">
        <v>9.7</v>
      </c>
      <c r="P271" s="242">
        <v>9.92</v>
      </c>
      <c r="Q271" s="242">
        <v>14.17</v>
      </c>
    </row>
    <row r="272">
      <c r="A272" s="242" t="s">
        <v>471</v>
      </c>
      <c r="B272" s="242" t="s">
        <v>564</v>
      </c>
      <c r="C272" s="242" t="s">
        <v>602</v>
      </c>
      <c r="D272" s="242" t="s">
        <v>480</v>
      </c>
      <c r="E272" s="242" t="s">
        <v>474</v>
      </c>
      <c r="F272" s="417">
        <v>46108.0</v>
      </c>
      <c r="G272" s="242">
        <v>10.3727</v>
      </c>
      <c r="H272" s="242">
        <v>9.69</v>
      </c>
      <c r="I272" s="242">
        <v>8.46</v>
      </c>
      <c r="J272" s="242">
        <v>13.36</v>
      </c>
      <c r="K272" s="242">
        <v>9.99</v>
      </c>
      <c r="L272" s="242">
        <v>8.43</v>
      </c>
      <c r="M272" s="242">
        <v>9.14</v>
      </c>
      <c r="N272" s="242">
        <v>9.46</v>
      </c>
      <c r="O272" s="242">
        <v>9.69</v>
      </c>
      <c r="P272" s="242">
        <v>10.18</v>
      </c>
      <c r="Q272" s="242">
        <v>14.17</v>
      </c>
    </row>
    <row r="273">
      <c r="A273" s="242" t="s">
        <v>471</v>
      </c>
      <c r="B273" s="242" t="s">
        <v>564</v>
      </c>
      <c r="C273" s="242" t="s">
        <v>603</v>
      </c>
      <c r="D273" s="242" t="s">
        <v>479</v>
      </c>
      <c r="E273" s="242" t="s">
        <v>474</v>
      </c>
      <c r="F273" s="417">
        <v>46108.0</v>
      </c>
      <c r="G273" s="242">
        <v>55.8118</v>
      </c>
      <c r="H273" s="242">
        <v>5.81</v>
      </c>
      <c r="I273" s="242">
        <v>3.49</v>
      </c>
      <c r="J273" s="242">
        <v>-13.8</v>
      </c>
      <c r="K273" s="242">
        <v>1.87</v>
      </c>
      <c r="L273" s="242">
        <v>3.53</v>
      </c>
      <c r="M273" s="242">
        <v>5.46</v>
      </c>
      <c r="N273" s="242">
        <v>5.52</v>
      </c>
      <c r="O273" s="242">
        <v>5.81</v>
      </c>
      <c r="P273" s="242">
        <v>6.44</v>
      </c>
      <c r="Q273" s="242">
        <v>10.62</v>
      </c>
    </row>
    <row r="274">
      <c r="A274" s="242" t="s">
        <v>471</v>
      </c>
      <c r="B274" s="242" t="s">
        <v>564</v>
      </c>
      <c r="C274" s="242" t="s">
        <v>604</v>
      </c>
      <c r="D274" s="242" t="s">
        <v>480</v>
      </c>
      <c r="E274" s="242" t="s">
        <v>474</v>
      </c>
      <c r="F274" s="417">
        <v>46108.0</v>
      </c>
      <c r="G274" s="242">
        <v>125.0851</v>
      </c>
      <c r="H274" s="242">
        <v>9.77</v>
      </c>
      <c r="I274" s="242">
        <v>2.54</v>
      </c>
      <c r="J274" s="242">
        <v>8.47</v>
      </c>
      <c r="K274" s="242">
        <v>-0.92</v>
      </c>
      <c r="L274" s="242">
        <v>3.31</v>
      </c>
      <c r="M274" s="242">
        <v>8.57</v>
      </c>
      <c r="N274" s="242">
        <v>9.15</v>
      </c>
      <c r="O274" s="242">
        <v>9.77</v>
      </c>
      <c r="P274" s="242">
        <v>11.05</v>
      </c>
      <c r="Q274" s="242">
        <v>15.65</v>
      </c>
    </row>
    <row r="275">
      <c r="A275" s="242" t="s">
        <v>471</v>
      </c>
      <c r="B275" s="242" t="s">
        <v>564</v>
      </c>
      <c r="C275" s="242" t="s">
        <v>605</v>
      </c>
      <c r="D275" s="242" t="s">
        <v>481</v>
      </c>
      <c r="E275" s="242" t="s">
        <v>474</v>
      </c>
      <c r="F275" s="417">
        <v>46108.0</v>
      </c>
      <c r="G275" s="242">
        <v>122.1029</v>
      </c>
      <c r="H275" s="242">
        <v>9.02</v>
      </c>
      <c r="I275" s="242">
        <v>3.96</v>
      </c>
      <c r="J275" s="242">
        <v>-43.69</v>
      </c>
      <c r="K275" s="242">
        <v>2.87</v>
      </c>
      <c r="L275" s="242">
        <v>4.53</v>
      </c>
      <c r="M275" s="242">
        <v>7.99</v>
      </c>
      <c r="N275" s="242">
        <v>8.55</v>
      </c>
      <c r="O275" s="242">
        <v>9.02</v>
      </c>
      <c r="P275" s="242">
        <v>9.29</v>
      </c>
      <c r="Q275" s="242">
        <v>13.85</v>
      </c>
    </row>
    <row r="276">
      <c r="A276" s="242" t="s">
        <v>471</v>
      </c>
      <c r="B276" s="242" t="s">
        <v>564</v>
      </c>
      <c r="C276" s="242" t="s">
        <v>606</v>
      </c>
      <c r="D276" s="242" t="s">
        <v>479</v>
      </c>
      <c r="E276" s="242" t="s">
        <v>474</v>
      </c>
      <c r="F276" s="417">
        <v>46108.0</v>
      </c>
      <c r="G276" s="242">
        <v>100.5128</v>
      </c>
      <c r="H276" s="242">
        <v>9.76</v>
      </c>
      <c r="I276" s="242">
        <v>6.35</v>
      </c>
      <c r="J276" s="242">
        <v>-2.3</v>
      </c>
      <c r="K276" s="242">
        <v>6.84</v>
      </c>
      <c r="L276" s="242">
        <v>6.78</v>
      </c>
      <c r="M276" s="242">
        <v>9.05</v>
      </c>
      <c r="N276" s="242">
        <v>9.42</v>
      </c>
      <c r="O276" s="242">
        <v>9.76</v>
      </c>
      <c r="P276" s="242">
        <v>10.31</v>
      </c>
      <c r="Q276" s="242">
        <v>15.07</v>
      </c>
    </row>
    <row r="277">
      <c r="A277" s="242" t="s">
        <v>471</v>
      </c>
      <c r="B277" s="242" t="s">
        <v>564</v>
      </c>
      <c r="C277" s="242" t="s">
        <v>607</v>
      </c>
      <c r="D277" s="242" t="s">
        <v>480</v>
      </c>
      <c r="E277" s="242" t="s">
        <v>474</v>
      </c>
      <c r="F277" s="417">
        <v>46108.0</v>
      </c>
      <c r="G277" s="242">
        <v>90.0355</v>
      </c>
      <c r="H277" s="242">
        <v>9.6</v>
      </c>
      <c r="I277" s="242">
        <v>9.12</v>
      </c>
      <c r="J277" s="242">
        <v>8.43</v>
      </c>
      <c r="K277" s="242">
        <v>8.55</v>
      </c>
      <c r="L277" s="242">
        <v>9.54</v>
      </c>
      <c r="M277" s="242">
        <v>9.8</v>
      </c>
      <c r="N277" s="242">
        <v>9.57</v>
      </c>
      <c r="O277" s="242">
        <v>9.6</v>
      </c>
      <c r="P277" s="242">
        <v>9.69</v>
      </c>
      <c r="Q277" s="242">
        <v>14.76</v>
      </c>
    </row>
    <row r="278">
      <c r="A278" s="242" t="s">
        <v>471</v>
      </c>
      <c r="B278" s="242" t="s">
        <v>608</v>
      </c>
      <c r="C278" s="242" t="s">
        <v>609</v>
      </c>
      <c r="E278" s="242" t="s">
        <v>474</v>
      </c>
      <c r="F278" s="417">
        <v>46108.0</v>
      </c>
      <c r="G278" s="242">
        <v>29.857</v>
      </c>
      <c r="H278" s="242">
        <v>11.55</v>
      </c>
      <c r="I278" s="242">
        <v>-7.51</v>
      </c>
      <c r="J278" s="242">
        <v>-0.88</v>
      </c>
      <c r="K278" s="242">
        <v>-0.9</v>
      </c>
      <c r="L278" s="242">
        <v>-4.85</v>
      </c>
      <c r="M278" s="242">
        <v>-11.72</v>
      </c>
      <c r="N278" s="242">
        <v>-11.67</v>
      </c>
      <c r="O278" s="242">
        <v>11.55</v>
      </c>
      <c r="P278" s="242">
        <v>10.31</v>
      </c>
      <c r="Q278" s="242">
        <v>91.34</v>
      </c>
    </row>
    <row r="279">
      <c r="A279" s="242" t="s">
        <v>471</v>
      </c>
      <c r="B279" s="242" t="s">
        <v>608</v>
      </c>
      <c r="C279" s="242" t="s">
        <v>610</v>
      </c>
      <c r="E279" s="242" t="s">
        <v>474</v>
      </c>
      <c r="F279" s="417">
        <v>46108.0</v>
      </c>
      <c r="G279" s="242">
        <v>95.1194</v>
      </c>
      <c r="H279" s="242">
        <v>6.57</v>
      </c>
      <c r="I279" s="242">
        <v>-10.68</v>
      </c>
      <c r="J279" s="242">
        <v>-0.88</v>
      </c>
      <c r="K279" s="242">
        <v>-0.14</v>
      </c>
      <c r="L279" s="242">
        <v>-8.87</v>
      </c>
      <c r="M279" s="242">
        <v>-12.99</v>
      </c>
      <c r="N279" s="242">
        <v>-16.17</v>
      </c>
      <c r="O279" s="242">
        <v>6.57</v>
      </c>
      <c r="P279" s="242">
        <v>13.74</v>
      </c>
      <c r="Q279" s="242">
        <v>89.62</v>
      </c>
    </row>
    <row r="280">
      <c r="A280" s="242" t="s">
        <v>471</v>
      </c>
      <c r="B280" s="242" t="s">
        <v>608</v>
      </c>
      <c r="C280" s="242" t="s">
        <v>611</v>
      </c>
      <c r="E280" s="242" t="s">
        <v>474</v>
      </c>
      <c r="F280" s="417">
        <v>46110.0</v>
      </c>
      <c r="G280" s="242">
        <v>311.7602</v>
      </c>
      <c r="H280" s="242">
        <v>15.31</v>
      </c>
      <c r="I280" s="242">
        <v>-4.42</v>
      </c>
      <c r="J280" s="242">
        <v>-0.01</v>
      </c>
      <c r="K280" s="242">
        <v>-2.17</v>
      </c>
      <c r="L280" s="242">
        <v>-4.43</v>
      </c>
      <c r="M280" s="242">
        <v>-8.53</v>
      </c>
      <c r="N280" s="242">
        <v>-8.8</v>
      </c>
      <c r="O280" s="242">
        <v>14.25</v>
      </c>
      <c r="P280" s="242">
        <v>11.86</v>
      </c>
      <c r="Q280" s="242">
        <v>111.29</v>
      </c>
    </row>
    <row r="281">
      <c r="A281" s="242" t="s">
        <v>471</v>
      </c>
      <c r="B281" s="242" t="s">
        <v>608</v>
      </c>
      <c r="C281" s="242" t="s">
        <v>612</v>
      </c>
      <c r="E281" s="242" t="s">
        <v>474</v>
      </c>
      <c r="F281" s="417">
        <v>46110.0</v>
      </c>
      <c r="G281" s="242">
        <v>448.87</v>
      </c>
      <c r="H281" s="242">
        <v>14.75</v>
      </c>
      <c r="I281" s="242">
        <v>-8.33</v>
      </c>
      <c r="J281" s="242">
        <v>-0.01</v>
      </c>
      <c r="K281" s="242">
        <v>-0.35</v>
      </c>
      <c r="L281" s="242">
        <v>-8.34</v>
      </c>
      <c r="M281" s="242">
        <v>-12.84</v>
      </c>
      <c r="N281" s="242">
        <v>-11.07</v>
      </c>
      <c r="O281" s="242">
        <v>13.64</v>
      </c>
      <c r="P281" s="242">
        <v>21.51</v>
      </c>
      <c r="Q281" s="242">
        <v>115.7</v>
      </c>
    </row>
    <row r="282">
      <c r="A282" s="242" t="s">
        <v>471</v>
      </c>
      <c r="B282" s="242" t="s">
        <v>608</v>
      </c>
      <c r="C282" s="242" t="s">
        <v>613</v>
      </c>
      <c r="E282" s="242" t="s">
        <v>474</v>
      </c>
      <c r="F282" s="417">
        <v>46107.0</v>
      </c>
      <c r="G282" s="242">
        <v>161.4462</v>
      </c>
      <c r="H282" s="242">
        <v>10.48</v>
      </c>
      <c r="I282" s="242">
        <v>-8.45</v>
      </c>
      <c r="J282" s="242">
        <v>-3.35</v>
      </c>
      <c r="K282" s="242">
        <v>-1.86</v>
      </c>
      <c r="L282" s="242">
        <v>-7.44</v>
      </c>
      <c r="M282" s="242">
        <v>-11.82</v>
      </c>
      <c r="N282" s="242">
        <v>-13.54</v>
      </c>
      <c r="O282" s="242">
        <v>10.58</v>
      </c>
      <c r="P282" s="242">
        <v>13.97</v>
      </c>
      <c r="Q282" s="242">
        <v>131.39</v>
      </c>
    </row>
    <row r="283">
      <c r="A283" s="242" t="s">
        <v>471</v>
      </c>
      <c r="B283" s="242" t="s">
        <v>608</v>
      </c>
      <c r="C283" s="242" t="s">
        <v>614</v>
      </c>
      <c r="E283" s="242" t="s">
        <v>474</v>
      </c>
      <c r="F283" s="417">
        <v>46108.0</v>
      </c>
      <c r="G283" s="242">
        <v>43.8417</v>
      </c>
      <c r="H283" s="242">
        <v>9.93</v>
      </c>
      <c r="I283" s="242">
        <v>-7.7</v>
      </c>
      <c r="J283" s="242">
        <v>-1.07</v>
      </c>
      <c r="K283" s="242">
        <v>-0.59</v>
      </c>
      <c r="L283" s="242">
        <v>-5.43</v>
      </c>
      <c r="M283" s="242">
        <v>-14.47</v>
      </c>
      <c r="N283" s="242">
        <v>-13.22</v>
      </c>
      <c r="O283" s="242">
        <v>9.93</v>
      </c>
      <c r="P283" s="242">
        <v>15.22</v>
      </c>
      <c r="Q283" s="242">
        <v>101.06</v>
      </c>
    </row>
    <row r="284">
      <c r="A284" s="242" t="s">
        <v>471</v>
      </c>
      <c r="B284" s="242" t="s">
        <v>608</v>
      </c>
      <c r="C284" s="242" t="s">
        <v>615</v>
      </c>
      <c r="E284" s="242" t="s">
        <v>474</v>
      </c>
      <c r="F284" s="417">
        <v>46108.0</v>
      </c>
      <c r="G284" s="242">
        <v>64.0913</v>
      </c>
      <c r="H284" s="242">
        <v>10.42</v>
      </c>
      <c r="I284" s="242">
        <v>-7.89</v>
      </c>
      <c r="J284" s="242">
        <v>-0.99</v>
      </c>
      <c r="K284" s="242">
        <v>-0.66</v>
      </c>
      <c r="L284" s="242">
        <v>-5.34</v>
      </c>
      <c r="M284" s="242">
        <v>-13.08</v>
      </c>
      <c r="N284" s="242">
        <v>-11.06</v>
      </c>
      <c r="O284" s="242">
        <v>10.42</v>
      </c>
      <c r="P284" s="242">
        <v>11.58</v>
      </c>
      <c r="Q284" s="242">
        <v>91.7</v>
      </c>
    </row>
    <row r="285">
      <c r="A285" s="242" t="s">
        <v>471</v>
      </c>
      <c r="B285" s="242" t="s">
        <v>608</v>
      </c>
      <c r="C285" s="242" t="s">
        <v>616</v>
      </c>
      <c r="E285" s="242" t="s">
        <v>474</v>
      </c>
      <c r="F285" s="417">
        <v>46108.0</v>
      </c>
      <c r="G285" s="242">
        <v>27.31</v>
      </c>
      <c r="H285" s="242">
        <v>13.7</v>
      </c>
      <c r="I285" s="242">
        <v>-7.89</v>
      </c>
      <c r="J285" s="242">
        <v>-0.62</v>
      </c>
      <c r="K285" s="242">
        <v>-0.22</v>
      </c>
      <c r="L285" s="242">
        <v>-5.83</v>
      </c>
      <c r="M285" s="242">
        <v>-9.87</v>
      </c>
      <c r="N285" s="242">
        <v>-7.71</v>
      </c>
      <c r="O285" s="242">
        <v>13.7</v>
      </c>
      <c r="P285" s="242">
        <v>23.21</v>
      </c>
      <c r="Q285" s="242">
        <v>118.75</v>
      </c>
    </row>
    <row r="286">
      <c r="A286" s="242" t="s">
        <v>471</v>
      </c>
      <c r="B286" s="242" t="s">
        <v>608</v>
      </c>
      <c r="C286" s="242" t="s">
        <v>617</v>
      </c>
      <c r="E286" s="242" t="s">
        <v>474</v>
      </c>
      <c r="F286" s="417">
        <v>46108.0</v>
      </c>
      <c r="G286" s="418">
        <v>198.3962</v>
      </c>
      <c r="H286" s="242">
        <v>26.22</v>
      </c>
      <c r="I286" s="242">
        <v>-6.41</v>
      </c>
      <c r="J286" s="242">
        <v>-0.4</v>
      </c>
      <c r="K286" s="242">
        <v>-0.42</v>
      </c>
      <c r="L286" s="242">
        <v>-3.48</v>
      </c>
      <c r="M286" s="242">
        <v>-5.2</v>
      </c>
      <c r="N286" s="242">
        <v>2.84</v>
      </c>
      <c r="O286" s="242">
        <v>26.22</v>
      </c>
      <c r="P286" s="242">
        <v>35.13</v>
      </c>
      <c r="Q286" s="242">
        <v>111.62</v>
      </c>
    </row>
    <row r="287">
      <c r="A287" s="242" t="s">
        <v>471</v>
      </c>
      <c r="B287" s="242" t="s">
        <v>608</v>
      </c>
      <c r="C287" s="242" t="s">
        <v>618</v>
      </c>
      <c r="E287" s="242" t="s">
        <v>474</v>
      </c>
      <c r="F287" s="417">
        <v>46108.0</v>
      </c>
      <c r="G287" s="418">
        <v>1421.6959</v>
      </c>
      <c r="H287" s="242">
        <v>11.91</v>
      </c>
      <c r="I287" s="242">
        <v>-8.28</v>
      </c>
      <c r="J287" s="242">
        <v>-0.98</v>
      </c>
      <c r="K287" s="242">
        <v>-0.94</v>
      </c>
      <c r="L287" s="242">
        <v>-5.7</v>
      </c>
      <c r="M287" s="242">
        <v>-12.93</v>
      </c>
      <c r="N287" s="242">
        <v>-12.59</v>
      </c>
      <c r="O287" s="242">
        <v>11.91</v>
      </c>
      <c r="P287" s="242">
        <v>14.9</v>
      </c>
      <c r="Q287" s="242">
        <v>102.94</v>
      </c>
    </row>
    <row r="288">
      <c r="A288" s="242" t="s">
        <v>471</v>
      </c>
      <c r="B288" s="242" t="s">
        <v>608</v>
      </c>
      <c r="C288" s="242" t="s">
        <v>619</v>
      </c>
      <c r="E288" s="242" t="s">
        <v>474</v>
      </c>
      <c r="F288" s="417">
        <v>46108.0</v>
      </c>
      <c r="G288" s="242">
        <v>167.3668</v>
      </c>
      <c r="H288" s="242">
        <v>11.35</v>
      </c>
      <c r="I288" s="242">
        <v>-8.94</v>
      </c>
      <c r="J288" s="242">
        <v>-0.9</v>
      </c>
      <c r="K288" s="242">
        <v>-0.89</v>
      </c>
      <c r="L288" s="242">
        <v>-6.59</v>
      </c>
      <c r="M288" s="242">
        <v>-13.43</v>
      </c>
      <c r="N288" s="242">
        <v>-12.69</v>
      </c>
      <c r="O288" s="242">
        <v>11.35</v>
      </c>
      <c r="P288" s="242">
        <v>13.52</v>
      </c>
      <c r="Q288" s="242">
        <v>98.44</v>
      </c>
    </row>
    <row r="289">
      <c r="A289" s="242" t="s">
        <v>471</v>
      </c>
      <c r="B289" s="242" t="s">
        <v>608</v>
      </c>
      <c r="C289" s="242" t="s">
        <v>620</v>
      </c>
      <c r="E289" s="242" t="s">
        <v>474</v>
      </c>
      <c r="F289" s="417">
        <v>46108.0</v>
      </c>
      <c r="G289" s="242">
        <v>108.0371</v>
      </c>
      <c r="H289" s="242">
        <v>12.75</v>
      </c>
      <c r="I289" s="242">
        <v>-8.34</v>
      </c>
      <c r="J289" s="242">
        <v>-1.18</v>
      </c>
      <c r="K289" s="242">
        <v>-0.99</v>
      </c>
      <c r="L289" s="242">
        <v>-6.1</v>
      </c>
      <c r="M289" s="242">
        <v>-13.25</v>
      </c>
      <c r="N289" s="242">
        <v>-11.52</v>
      </c>
      <c r="O289" s="242">
        <v>12.75</v>
      </c>
      <c r="P289" s="242">
        <v>10.95</v>
      </c>
      <c r="Q289" s="242">
        <v>97.19</v>
      </c>
    </row>
    <row r="290">
      <c r="A290" s="242" t="s">
        <v>471</v>
      </c>
      <c r="B290" s="242" t="s">
        <v>608</v>
      </c>
      <c r="C290" s="242" t="s">
        <v>621</v>
      </c>
      <c r="E290" s="242" t="s">
        <v>474</v>
      </c>
      <c r="F290" s="417">
        <v>46108.0</v>
      </c>
      <c r="G290" s="242">
        <v>121.458</v>
      </c>
      <c r="H290" s="242">
        <v>20.23</v>
      </c>
      <c r="I290" s="242">
        <v>-7.37</v>
      </c>
      <c r="J290" s="242">
        <v>-0.73</v>
      </c>
      <c r="K290" s="242">
        <v>-1.22</v>
      </c>
      <c r="L290" s="242">
        <v>-4.41</v>
      </c>
      <c r="M290" s="242">
        <v>-6.49</v>
      </c>
      <c r="N290" s="242">
        <v>-3.54</v>
      </c>
      <c r="O290" s="242">
        <v>20.23</v>
      </c>
      <c r="P290" s="242">
        <v>19.44</v>
      </c>
      <c r="Q290" s="242" t="s">
        <v>474</v>
      </c>
    </row>
    <row r="291">
      <c r="A291" s="242" t="s">
        <v>471</v>
      </c>
      <c r="B291" s="242" t="s">
        <v>608</v>
      </c>
      <c r="C291" s="242" t="s">
        <v>622</v>
      </c>
      <c r="E291" s="242" t="s">
        <v>474</v>
      </c>
      <c r="F291" s="417">
        <v>46108.0</v>
      </c>
      <c r="G291" s="242">
        <v>179.223</v>
      </c>
      <c r="H291" s="242">
        <v>12.8</v>
      </c>
      <c r="I291" s="242">
        <v>-7.5</v>
      </c>
      <c r="J291" s="242">
        <v>-0.97</v>
      </c>
      <c r="K291" s="242">
        <v>-0.7</v>
      </c>
      <c r="L291" s="242">
        <v>-5.1</v>
      </c>
      <c r="M291" s="242">
        <v>-13.31</v>
      </c>
      <c r="N291" s="242">
        <v>-10.65</v>
      </c>
      <c r="O291" s="242">
        <v>12.8</v>
      </c>
      <c r="P291" s="242">
        <v>9.52</v>
      </c>
      <c r="Q291" s="242">
        <v>91.16</v>
      </c>
    </row>
    <row r="292">
      <c r="A292" s="242" t="s">
        <v>471</v>
      </c>
      <c r="B292" s="242" t="s">
        <v>608</v>
      </c>
      <c r="C292" s="242" t="s">
        <v>623</v>
      </c>
      <c r="E292" s="242" t="s">
        <v>474</v>
      </c>
      <c r="F292" s="417">
        <v>46108.0</v>
      </c>
      <c r="G292" s="242">
        <v>222.8812</v>
      </c>
      <c r="H292" s="242">
        <v>7.36</v>
      </c>
      <c r="I292" s="242">
        <v>-8.12</v>
      </c>
      <c r="J292" s="242">
        <v>-1.26</v>
      </c>
      <c r="K292" s="242">
        <v>-1.66</v>
      </c>
      <c r="L292" s="242">
        <v>-5.76</v>
      </c>
      <c r="M292" s="242">
        <v>-14.99</v>
      </c>
      <c r="N292" s="242">
        <v>-12.74</v>
      </c>
      <c r="O292" s="242">
        <v>7.36</v>
      </c>
      <c r="P292" s="242">
        <v>6.77</v>
      </c>
      <c r="Q292" s="242">
        <v>86.5</v>
      </c>
    </row>
    <row r="293">
      <c r="A293" s="242" t="s">
        <v>471</v>
      </c>
      <c r="B293" s="242" t="s">
        <v>608</v>
      </c>
      <c r="C293" s="242" t="s">
        <v>624</v>
      </c>
      <c r="E293" s="242" t="s">
        <v>474</v>
      </c>
      <c r="F293" s="417">
        <v>46108.0</v>
      </c>
      <c r="G293" s="242">
        <v>229.95</v>
      </c>
      <c r="H293" s="242">
        <v>5.64</v>
      </c>
      <c r="I293" s="242">
        <v>-9.33</v>
      </c>
      <c r="J293" s="242">
        <v>-0.48</v>
      </c>
      <c r="K293" s="242">
        <v>-1.63</v>
      </c>
      <c r="L293" s="242">
        <v>-7.35</v>
      </c>
      <c r="M293" s="242">
        <v>-16.63</v>
      </c>
      <c r="N293" s="242">
        <v>-16.77</v>
      </c>
      <c r="O293" s="242">
        <v>5.64</v>
      </c>
      <c r="P293" s="242">
        <v>6.25</v>
      </c>
      <c r="Q293" s="242">
        <v>84.48</v>
      </c>
    </row>
    <row r="294">
      <c r="A294" s="242" t="s">
        <v>471</v>
      </c>
      <c r="B294" s="242" t="s">
        <v>608</v>
      </c>
      <c r="C294" s="242" t="s">
        <v>625</v>
      </c>
      <c r="E294" s="242" t="s">
        <v>474</v>
      </c>
      <c r="F294" s="417">
        <v>46108.0</v>
      </c>
      <c r="G294" s="242">
        <v>86.3297</v>
      </c>
      <c r="H294" s="242">
        <v>-13.67</v>
      </c>
      <c r="I294" s="242">
        <v>-5.14</v>
      </c>
      <c r="J294" s="242">
        <v>-1.93</v>
      </c>
      <c r="K294" s="242">
        <v>-2.55</v>
      </c>
      <c r="L294" s="242">
        <v>-2.86</v>
      </c>
      <c r="M294" s="242" t="s">
        <v>474</v>
      </c>
      <c r="N294" s="242" t="s">
        <v>474</v>
      </c>
      <c r="O294" s="242" t="s">
        <v>474</v>
      </c>
      <c r="P294" s="242" t="s">
        <v>474</v>
      </c>
      <c r="Q294" s="242" t="s">
        <v>474</v>
      </c>
    </row>
    <row r="295">
      <c r="A295" s="242" t="s">
        <v>471</v>
      </c>
      <c r="B295" s="242" t="s">
        <v>608</v>
      </c>
      <c r="C295" s="242" t="s">
        <v>626</v>
      </c>
      <c r="E295" s="242" t="s">
        <v>474</v>
      </c>
      <c r="F295" s="417">
        <v>46108.0</v>
      </c>
      <c r="G295" s="242">
        <v>121.21</v>
      </c>
      <c r="H295" s="242">
        <v>12.9</v>
      </c>
      <c r="I295" s="242">
        <v>-7.36</v>
      </c>
      <c r="J295" s="242">
        <v>-0.97</v>
      </c>
      <c r="K295" s="242">
        <v>-0.83</v>
      </c>
      <c r="L295" s="242">
        <v>-4.81</v>
      </c>
      <c r="M295" s="242">
        <v>-12.37</v>
      </c>
      <c r="N295" s="242">
        <v>-10.12</v>
      </c>
      <c r="O295" s="242">
        <v>12.9</v>
      </c>
      <c r="P295" s="242" t="s">
        <v>474</v>
      </c>
      <c r="Q295" s="242" t="s">
        <v>474</v>
      </c>
    </row>
    <row r="296">
      <c r="A296" s="242" t="s">
        <v>471</v>
      </c>
      <c r="B296" s="242" t="s">
        <v>608</v>
      </c>
      <c r="C296" s="242" t="s">
        <v>627</v>
      </c>
      <c r="E296" s="242" t="s">
        <v>474</v>
      </c>
      <c r="F296" s="417">
        <v>46108.0</v>
      </c>
      <c r="G296" s="242">
        <v>54.6442</v>
      </c>
      <c r="H296" s="242">
        <v>10.42</v>
      </c>
      <c r="I296" s="242">
        <v>-8.6</v>
      </c>
      <c r="J296" s="242">
        <v>-1.84</v>
      </c>
      <c r="K296" s="242">
        <v>-2.04</v>
      </c>
      <c r="L296" s="242">
        <v>-2.74</v>
      </c>
      <c r="M296" s="242">
        <v>-11.72</v>
      </c>
      <c r="N296" s="242">
        <v>-13.62</v>
      </c>
      <c r="O296" s="242">
        <v>10.42</v>
      </c>
      <c r="P296" s="242">
        <v>3.47</v>
      </c>
      <c r="Q296" s="242">
        <v>86.64</v>
      </c>
    </row>
    <row r="297">
      <c r="A297" s="242" t="s">
        <v>471</v>
      </c>
      <c r="B297" s="242" t="s">
        <v>608</v>
      </c>
      <c r="C297" s="242" t="s">
        <v>628</v>
      </c>
      <c r="E297" s="242" t="s">
        <v>474</v>
      </c>
      <c r="F297" s="417">
        <v>46108.0</v>
      </c>
      <c r="G297" s="242">
        <v>146.0396</v>
      </c>
      <c r="H297" s="242">
        <v>13.2</v>
      </c>
      <c r="I297" s="242">
        <v>-7.47</v>
      </c>
      <c r="J297" s="242">
        <v>-0.87</v>
      </c>
      <c r="K297" s="242">
        <v>-0.66</v>
      </c>
      <c r="L297" s="242">
        <v>-5.19</v>
      </c>
      <c r="M297" s="242">
        <v>-12.8</v>
      </c>
      <c r="N297" s="242">
        <v>-10.94</v>
      </c>
      <c r="O297" s="242">
        <v>13.2</v>
      </c>
      <c r="P297" s="242">
        <v>17.45</v>
      </c>
      <c r="Q297" s="242">
        <v>102.09</v>
      </c>
    </row>
    <row r="298">
      <c r="A298" s="242" t="s">
        <v>471</v>
      </c>
      <c r="B298" s="242" t="s">
        <v>608</v>
      </c>
      <c r="C298" s="242" t="s">
        <v>629</v>
      </c>
      <c r="E298" s="242" t="s">
        <v>474</v>
      </c>
      <c r="F298" s="417">
        <v>46108.0</v>
      </c>
      <c r="G298" s="242">
        <v>20.5312</v>
      </c>
      <c r="H298" s="242">
        <v>15.51</v>
      </c>
      <c r="I298" s="242">
        <v>-4.84</v>
      </c>
      <c r="J298" s="242">
        <v>-1.82</v>
      </c>
      <c r="K298" s="242">
        <v>-2.36</v>
      </c>
      <c r="L298" s="242">
        <v>-2.31</v>
      </c>
      <c r="M298" s="242">
        <v>-6.44</v>
      </c>
      <c r="N298" s="242">
        <v>-6.69</v>
      </c>
      <c r="O298" s="242">
        <v>15.51</v>
      </c>
      <c r="P298" s="242">
        <v>8.86</v>
      </c>
      <c r="Q298" s="242">
        <v>105.82</v>
      </c>
    </row>
    <row r="299">
      <c r="A299" s="242" t="s">
        <v>471</v>
      </c>
      <c r="B299" s="242" t="s">
        <v>608</v>
      </c>
      <c r="C299" s="242" t="s">
        <v>630</v>
      </c>
      <c r="E299" s="242" t="s">
        <v>474</v>
      </c>
      <c r="F299" s="417">
        <v>46108.0</v>
      </c>
      <c r="G299" s="242">
        <v>22.1011</v>
      </c>
      <c r="H299" s="242">
        <v>15.47</v>
      </c>
      <c r="I299" s="242">
        <v>-9.97</v>
      </c>
      <c r="J299" s="242">
        <v>-1.36</v>
      </c>
      <c r="K299" s="242">
        <v>-1.17</v>
      </c>
      <c r="L299" s="242">
        <v>-7.2</v>
      </c>
      <c r="M299" s="242">
        <v>-14.23</v>
      </c>
      <c r="N299" s="242">
        <v>-9.38</v>
      </c>
      <c r="O299" s="242">
        <v>15.47</v>
      </c>
      <c r="P299" s="242">
        <v>16.45</v>
      </c>
      <c r="Q299" s="242">
        <v>111.82</v>
      </c>
    </row>
    <row r="300">
      <c r="A300" s="242" t="s">
        <v>471</v>
      </c>
      <c r="B300" s="242" t="s">
        <v>608</v>
      </c>
      <c r="C300" s="242" t="s">
        <v>631</v>
      </c>
      <c r="E300" s="242" t="s">
        <v>474</v>
      </c>
      <c r="F300" s="417">
        <v>46108.0</v>
      </c>
      <c r="G300" s="242">
        <v>17.75</v>
      </c>
      <c r="H300" s="242">
        <v>12.91</v>
      </c>
      <c r="I300" s="242">
        <v>-6.08</v>
      </c>
      <c r="J300" s="242">
        <v>-0.67</v>
      </c>
      <c r="K300" s="242">
        <v>-0.62</v>
      </c>
      <c r="L300" s="242">
        <v>-3.69</v>
      </c>
      <c r="M300" s="242">
        <v>-10.17</v>
      </c>
      <c r="N300" s="242">
        <v>-9.49</v>
      </c>
      <c r="O300" s="242">
        <v>12.91</v>
      </c>
      <c r="P300" s="242">
        <v>13.66</v>
      </c>
      <c r="Q300" s="242">
        <v>83.77</v>
      </c>
    </row>
    <row r="301">
      <c r="A301" s="242" t="s">
        <v>471</v>
      </c>
      <c r="B301" s="242" t="s">
        <v>608</v>
      </c>
      <c r="C301" s="242" t="s">
        <v>632</v>
      </c>
      <c r="E301" s="242" t="s">
        <v>474</v>
      </c>
      <c r="F301" s="417">
        <v>46108.0</v>
      </c>
      <c r="G301" s="242">
        <v>245.0433</v>
      </c>
      <c r="H301" s="242">
        <v>11.21</v>
      </c>
      <c r="I301" s="242">
        <v>-5.63</v>
      </c>
      <c r="J301" s="242">
        <v>-0.91</v>
      </c>
      <c r="K301" s="242">
        <v>-0.5</v>
      </c>
      <c r="L301" s="242">
        <v>-3.37</v>
      </c>
      <c r="M301" s="242">
        <v>-10.02</v>
      </c>
      <c r="N301" s="242">
        <v>-9.16</v>
      </c>
      <c r="O301" s="242">
        <v>11.21</v>
      </c>
      <c r="P301" s="242">
        <v>13.78</v>
      </c>
      <c r="Q301" s="242">
        <v>59.33</v>
      </c>
    </row>
    <row r="302">
      <c r="A302" s="242" t="s">
        <v>471</v>
      </c>
      <c r="B302" s="242" t="s">
        <v>633</v>
      </c>
      <c r="C302" s="242" t="s">
        <v>336</v>
      </c>
      <c r="E302" s="242" t="s">
        <v>474</v>
      </c>
      <c r="F302" s="417">
        <v>46106.0</v>
      </c>
      <c r="G302" s="242">
        <v>97.0641</v>
      </c>
      <c r="H302" s="242">
        <v>3.81</v>
      </c>
      <c r="I302" s="242">
        <v>-3.87</v>
      </c>
      <c r="J302" s="242">
        <v>-0.76</v>
      </c>
      <c r="K302" s="242">
        <v>-1.56</v>
      </c>
      <c r="L302" s="242">
        <v>-3.95</v>
      </c>
      <c r="M302" s="242">
        <v>-3.85</v>
      </c>
      <c r="N302" s="242">
        <v>-0.67</v>
      </c>
      <c r="O302" s="242" t="s">
        <v>474</v>
      </c>
      <c r="P302" s="242" t="s">
        <v>474</v>
      </c>
      <c r="Q302" s="242" t="s">
        <v>474</v>
      </c>
    </row>
    <row r="303">
      <c r="A303" s="242" t="s">
        <v>471</v>
      </c>
      <c r="B303" s="242" t="s">
        <v>633</v>
      </c>
      <c r="C303" s="242" t="s">
        <v>305</v>
      </c>
      <c r="E303" s="242" t="s">
        <v>474</v>
      </c>
      <c r="F303" s="417">
        <v>46106.0</v>
      </c>
      <c r="G303" s="242">
        <v>96.0415</v>
      </c>
      <c r="H303" s="242">
        <v>-3.96</v>
      </c>
      <c r="I303" s="242">
        <v>-1.75</v>
      </c>
      <c r="J303" s="242">
        <v>0.47</v>
      </c>
      <c r="K303" s="242">
        <v>0.12</v>
      </c>
      <c r="L303" s="242">
        <v>-1.88</v>
      </c>
      <c r="M303" s="242">
        <v>-3.41</v>
      </c>
      <c r="N303" s="242" t="s">
        <v>474</v>
      </c>
      <c r="O303" s="242" t="s">
        <v>474</v>
      </c>
      <c r="P303" s="242" t="s">
        <v>474</v>
      </c>
      <c r="Q303" s="242" t="s">
        <v>474</v>
      </c>
    </row>
    <row r="304">
      <c r="A304" s="242" t="s">
        <v>471</v>
      </c>
      <c r="B304" s="242" t="s">
        <v>633</v>
      </c>
      <c r="C304" s="242" t="s">
        <v>324</v>
      </c>
      <c r="E304" s="242" t="s">
        <v>474</v>
      </c>
      <c r="F304" s="417">
        <v>46106.0</v>
      </c>
      <c r="G304" s="242">
        <v>50.0199</v>
      </c>
      <c r="H304" s="242">
        <v>0.04</v>
      </c>
      <c r="I304" s="242">
        <v>0.04</v>
      </c>
      <c r="J304" s="242">
        <v>-0.12</v>
      </c>
      <c r="K304" s="242">
        <v>0.04</v>
      </c>
      <c r="L304" s="242" t="s">
        <v>474</v>
      </c>
      <c r="M304" s="242" t="s">
        <v>474</v>
      </c>
      <c r="N304" s="242" t="s">
        <v>474</v>
      </c>
      <c r="O304" s="242" t="s">
        <v>474</v>
      </c>
      <c r="P304" s="242" t="s">
        <v>474</v>
      </c>
      <c r="Q304" s="242" t="s">
        <v>474</v>
      </c>
    </row>
    <row r="305">
      <c r="A305" s="242" t="s">
        <v>471</v>
      </c>
      <c r="B305" s="242" t="s">
        <v>633</v>
      </c>
      <c r="C305" s="242" t="s">
        <v>327</v>
      </c>
      <c r="E305" s="242" t="s">
        <v>474</v>
      </c>
      <c r="F305" s="417">
        <v>46108.0</v>
      </c>
      <c r="G305" s="242">
        <v>10.0224</v>
      </c>
      <c r="H305" s="242">
        <v>0.54</v>
      </c>
      <c r="I305" s="242">
        <v>-2.05</v>
      </c>
      <c r="J305" s="242">
        <v>-0.27</v>
      </c>
      <c r="K305" s="242">
        <v>-0.01</v>
      </c>
      <c r="L305" s="242">
        <v>-1.34</v>
      </c>
      <c r="M305" s="242">
        <v>-2.43</v>
      </c>
      <c r="N305" s="242">
        <v>0.45</v>
      </c>
      <c r="O305" s="242" t="s">
        <v>474</v>
      </c>
      <c r="P305" s="242" t="s">
        <v>474</v>
      </c>
      <c r="Q305" s="242" t="s">
        <v>474</v>
      </c>
    </row>
    <row r="306">
      <c r="A306" s="242" t="s">
        <v>471</v>
      </c>
      <c r="B306" s="242" t="s">
        <v>633</v>
      </c>
      <c r="C306" s="242" t="s">
        <v>326</v>
      </c>
      <c r="E306" s="242" t="s">
        <v>474</v>
      </c>
      <c r="F306" s="417">
        <v>46108.0</v>
      </c>
      <c r="G306" s="242">
        <v>9.9265</v>
      </c>
      <c r="H306" s="242">
        <v>-0.74</v>
      </c>
      <c r="I306" s="242">
        <v>-1.47</v>
      </c>
      <c r="J306" s="242">
        <v>-0.16</v>
      </c>
      <c r="K306" s="242">
        <v>0.08</v>
      </c>
      <c r="L306" s="242">
        <v>-0.67</v>
      </c>
      <c r="M306" s="242">
        <v>-0.98</v>
      </c>
      <c r="N306" s="242" t="s">
        <v>474</v>
      </c>
      <c r="O306" s="242" t="s">
        <v>474</v>
      </c>
      <c r="P306" s="242" t="s">
        <v>474</v>
      </c>
      <c r="Q306" s="242" t="s">
        <v>474</v>
      </c>
    </row>
    <row r="307">
      <c r="A307" s="242" t="s">
        <v>471</v>
      </c>
      <c r="B307" s="242" t="s">
        <v>633</v>
      </c>
      <c r="C307" s="242" t="s">
        <v>325</v>
      </c>
      <c r="E307" s="242" t="s">
        <v>474</v>
      </c>
      <c r="F307" s="417">
        <v>46108.0</v>
      </c>
      <c r="G307" s="242">
        <v>9.6561</v>
      </c>
      <c r="H307" s="242">
        <v>-3.44</v>
      </c>
      <c r="I307" s="242">
        <v>-1.45</v>
      </c>
      <c r="J307" s="242">
        <v>-0.16</v>
      </c>
      <c r="K307" s="242">
        <v>0.11</v>
      </c>
      <c r="L307" s="242">
        <v>-0.71</v>
      </c>
      <c r="M307" s="242" t="s">
        <v>474</v>
      </c>
      <c r="N307" s="242" t="s">
        <v>474</v>
      </c>
      <c r="O307" s="242" t="s">
        <v>474</v>
      </c>
      <c r="P307" s="242" t="s">
        <v>474</v>
      </c>
      <c r="Q307" s="242" t="s">
        <v>474</v>
      </c>
    </row>
    <row r="308">
      <c r="A308" s="242" t="s">
        <v>471</v>
      </c>
      <c r="B308" s="242" t="s">
        <v>633</v>
      </c>
      <c r="C308" s="242" t="s">
        <v>322</v>
      </c>
      <c r="E308" s="242" t="s">
        <v>474</v>
      </c>
      <c r="F308" s="417">
        <v>46108.0</v>
      </c>
      <c r="G308" s="242">
        <v>10.0601</v>
      </c>
      <c r="H308" s="242">
        <v>0.6</v>
      </c>
      <c r="I308" s="242">
        <v>0.5</v>
      </c>
      <c r="J308" s="242">
        <v>-0.09</v>
      </c>
      <c r="K308" s="242">
        <v>0.26</v>
      </c>
      <c r="L308" s="242">
        <v>0.54</v>
      </c>
      <c r="M308" s="242" t="s">
        <v>474</v>
      </c>
      <c r="N308" s="242" t="s">
        <v>474</v>
      </c>
      <c r="O308" s="242" t="s">
        <v>474</v>
      </c>
      <c r="P308" s="242" t="s">
        <v>474</v>
      </c>
      <c r="Q308" s="242" t="s">
        <v>474</v>
      </c>
    </row>
    <row r="309">
      <c r="A309" s="242" t="s">
        <v>471</v>
      </c>
      <c r="B309" s="242" t="s">
        <v>634</v>
      </c>
      <c r="C309" s="242" t="s">
        <v>635</v>
      </c>
      <c r="E309" s="242" t="s">
        <v>474</v>
      </c>
      <c r="F309" s="417">
        <v>46108.0</v>
      </c>
      <c r="G309" s="242">
        <v>10.0856</v>
      </c>
      <c r="H309" s="242">
        <v>10.08</v>
      </c>
      <c r="I309" s="242">
        <v>10.02</v>
      </c>
      <c r="J309" s="242">
        <v>9.78</v>
      </c>
      <c r="K309" s="242">
        <v>9.98</v>
      </c>
      <c r="L309" s="242">
        <v>10.02</v>
      </c>
      <c r="M309" s="242" t="s">
        <v>474</v>
      </c>
      <c r="N309" s="242" t="s">
        <v>474</v>
      </c>
      <c r="O309" s="242" t="s">
        <v>474</v>
      </c>
      <c r="P309" s="242" t="s">
        <v>474</v>
      </c>
      <c r="Q309" s="242" t="s">
        <v>474</v>
      </c>
    </row>
    <row r="310">
      <c r="A310" s="242" t="s">
        <v>471</v>
      </c>
      <c r="B310" s="242" t="s">
        <v>634</v>
      </c>
      <c r="C310" s="242" t="s">
        <v>636</v>
      </c>
      <c r="E310" s="242" t="s">
        <v>474</v>
      </c>
      <c r="F310" s="417">
        <v>46105.0</v>
      </c>
      <c r="G310" s="242">
        <v>101.3697</v>
      </c>
      <c r="H310" s="242">
        <v>10.0</v>
      </c>
      <c r="I310" s="242">
        <v>9.93</v>
      </c>
      <c r="J310" s="242">
        <v>9.86</v>
      </c>
      <c r="K310" s="242">
        <v>9.9</v>
      </c>
      <c r="L310" s="242">
        <v>9.94</v>
      </c>
      <c r="M310" s="242" t="s">
        <v>474</v>
      </c>
      <c r="N310" s="242" t="s">
        <v>474</v>
      </c>
      <c r="O310" s="242" t="s">
        <v>474</v>
      </c>
      <c r="P310" s="242" t="s">
        <v>474</v>
      </c>
      <c r="Q310" s="242" t="s">
        <v>474</v>
      </c>
    </row>
    <row r="311">
      <c r="A311" s="242" t="s">
        <v>471</v>
      </c>
      <c r="B311" s="242" t="s">
        <v>634</v>
      </c>
      <c r="C311" s="242" t="s">
        <v>637</v>
      </c>
      <c r="E311" s="242" t="s">
        <v>474</v>
      </c>
      <c r="F311" s="417">
        <v>46105.0</v>
      </c>
      <c r="G311" s="242">
        <v>100.9894</v>
      </c>
      <c r="H311" s="242">
        <v>10.03</v>
      </c>
      <c r="I311" s="242">
        <v>10.13</v>
      </c>
      <c r="J311" s="242">
        <v>10.04</v>
      </c>
      <c r="K311" s="242">
        <v>10.1</v>
      </c>
      <c r="L311" s="242">
        <v>10.14</v>
      </c>
      <c r="M311" s="242" t="s">
        <v>474</v>
      </c>
      <c r="N311" s="242" t="s">
        <v>474</v>
      </c>
      <c r="O311" s="242" t="s">
        <v>474</v>
      </c>
      <c r="P311" s="242" t="s">
        <v>474</v>
      </c>
      <c r="Q311" s="242" t="s">
        <v>474</v>
      </c>
    </row>
    <row r="312">
      <c r="A312" s="242" t="s">
        <v>471</v>
      </c>
      <c r="B312" s="242" t="s">
        <v>634</v>
      </c>
      <c r="C312" s="242" t="s">
        <v>638</v>
      </c>
      <c r="E312" s="242" t="s">
        <v>474</v>
      </c>
      <c r="F312" s="417">
        <v>46108.0</v>
      </c>
      <c r="G312" s="242">
        <v>101.5715</v>
      </c>
      <c r="H312" s="242">
        <v>10.06</v>
      </c>
      <c r="I312" s="242">
        <v>9.91</v>
      </c>
      <c r="J312" s="242">
        <v>9.86</v>
      </c>
      <c r="K312" s="242">
        <v>9.87</v>
      </c>
      <c r="L312" s="242">
        <v>9.92</v>
      </c>
      <c r="M312" s="242" t="s">
        <v>474</v>
      </c>
      <c r="N312" s="242" t="s">
        <v>474</v>
      </c>
      <c r="O312" s="242" t="s">
        <v>474</v>
      </c>
      <c r="P312" s="242" t="s">
        <v>474</v>
      </c>
      <c r="Q312" s="242" t="s">
        <v>474</v>
      </c>
    </row>
    <row r="313">
      <c r="A313" s="242" t="s">
        <v>471</v>
      </c>
      <c r="B313" s="242" t="s">
        <v>634</v>
      </c>
      <c r="C313" s="242" t="s">
        <v>639</v>
      </c>
      <c r="E313" s="242" t="s">
        <v>474</v>
      </c>
      <c r="F313" s="417">
        <v>46108.0</v>
      </c>
      <c r="G313" s="242">
        <v>124.1545</v>
      </c>
      <c r="H313" s="242">
        <v>9.43</v>
      </c>
      <c r="I313" s="242">
        <v>2.57</v>
      </c>
      <c r="J313" s="242">
        <v>-17.99</v>
      </c>
      <c r="K313" s="242">
        <v>-0.31</v>
      </c>
      <c r="L313" s="242">
        <v>3.08</v>
      </c>
      <c r="M313" s="242">
        <v>8.34</v>
      </c>
      <c r="N313" s="242">
        <v>9.05</v>
      </c>
      <c r="O313" s="242">
        <v>9.43</v>
      </c>
      <c r="P313" s="242">
        <v>10.78</v>
      </c>
      <c r="Q313" s="242" t="s">
        <v>474</v>
      </c>
    </row>
    <row r="314">
      <c r="A314" s="242" t="s">
        <v>471</v>
      </c>
      <c r="B314" s="242" t="s">
        <v>634</v>
      </c>
      <c r="C314" s="242" t="s">
        <v>640</v>
      </c>
      <c r="E314" s="242" t="s">
        <v>474</v>
      </c>
      <c r="F314" s="417">
        <v>46108.0</v>
      </c>
      <c r="G314" s="242">
        <v>108.3589</v>
      </c>
      <c r="H314" s="242">
        <v>11.12</v>
      </c>
      <c r="I314" s="242">
        <v>10.23</v>
      </c>
      <c r="J314" s="242">
        <v>10.18</v>
      </c>
      <c r="K314" s="242">
        <v>10.23</v>
      </c>
      <c r="L314" s="242">
        <v>10.23</v>
      </c>
      <c r="M314" s="242">
        <v>10.41</v>
      </c>
      <c r="N314" s="242">
        <v>10.85</v>
      </c>
      <c r="O314" s="242">
        <v>11.12</v>
      </c>
      <c r="P314" s="242" t="s">
        <v>474</v>
      </c>
      <c r="Q314" s="242" t="s">
        <v>474</v>
      </c>
    </row>
    <row r="315">
      <c r="A315" s="242" t="s">
        <v>471</v>
      </c>
      <c r="B315" s="242" t="s">
        <v>634</v>
      </c>
      <c r="C315" s="242" t="s">
        <v>641</v>
      </c>
      <c r="E315" s="242" t="s">
        <v>474</v>
      </c>
      <c r="F315" s="417">
        <v>46108.0</v>
      </c>
      <c r="G315" s="242">
        <v>100.0</v>
      </c>
      <c r="H315" s="242">
        <v>10.24</v>
      </c>
      <c r="I315" s="242">
        <v>10.07</v>
      </c>
      <c r="J315" s="242">
        <v>10.15</v>
      </c>
      <c r="K315" s="242">
        <v>10.36</v>
      </c>
      <c r="L315" s="242">
        <v>10.24</v>
      </c>
      <c r="M315" s="242" t="s">
        <v>474</v>
      </c>
      <c r="N315" s="242" t="s">
        <v>474</v>
      </c>
      <c r="O315" s="242" t="s">
        <v>474</v>
      </c>
      <c r="P315" s="242" t="s">
        <v>474</v>
      </c>
      <c r="Q315" s="242" t="s">
        <v>474</v>
      </c>
    </row>
    <row r="316">
      <c r="A316" s="242" t="s">
        <v>471</v>
      </c>
      <c r="B316" s="242" t="s">
        <v>634</v>
      </c>
      <c r="C316" s="242" t="s">
        <v>642</v>
      </c>
      <c r="E316" s="242" t="s">
        <v>474</v>
      </c>
      <c r="F316" s="417">
        <v>46108.0</v>
      </c>
      <c r="G316" s="242">
        <v>100.0</v>
      </c>
      <c r="H316" s="242">
        <v>10.28</v>
      </c>
      <c r="I316" s="242">
        <v>10.05</v>
      </c>
      <c r="J316" s="242">
        <v>10.33</v>
      </c>
      <c r="K316" s="242">
        <v>10.33</v>
      </c>
      <c r="L316" s="242">
        <v>10.28</v>
      </c>
      <c r="M316" s="242" t="s">
        <v>474</v>
      </c>
      <c r="N316" s="242" t="s">
        <v>474</v>
      </c>
      <c r="O316" s="242" t="s">
        <v>474</v>
      </c>
      <c r="P316" s="242" t="s">
        <v>474</v>
      </c>
      <c r="Q316" s="242" t="s">
        <v>474</v>
      </c>
    </row>
    <row r="317">
      <c r="A317" s="242" t="s">
        <v>471</v>
      </c>
      <c r="B317" s="242" t="s">
        <v>634</v>
      </c>
      <c r="C317" s="242" t="s">
        <v>643</v>
      </c>
      <c r="E317" s="242" t="s">
        <v>474</v>
      </c>
      <c r="F317" s="417">
        <v>46094.0</v>
      </c>
      <c r="G317" s="242">
        <v>102.6716</v>
      </c>
      <c r="H317" s="242">
        <v>10.72</v>
      </c>
      <c r="I317" s="242">
        <v>10.91</v>
      </c>
      <c r="J317" s="242">
        <v>10.26</v>
      </c>
      <c r="K317" s="242">
        <v>10.83</v>
      </c>
      <c r="L317" s="242">
        <v>10.6</v>
      </c>
      <c r="M317" s="242">
        <v>10.61</v>
      </c>
      <c r="N317" s="242" t="s">
        <v>474</v>
      </c>
      <c r="O317" s="242" t="s">
        <v>474</v>
      </c>
      <c r="P317" s="242" t="s">
        <v>474</v>
      </c>
      <c r="Q317" s="242" t="s">
        <v>474</v>
      </c>
    </row>
    <row r="318">
      <c r="A318" s="242" t="s">
        <v>471</v>
      </c>
      <c r="B318" s="242" t="s">
        <v>634</v>
      </c>
      <c r="C318" s="242" t="s">
        <v>644</v>
      </c>
      <c r="E318" s="242" t="s">
        <v>474</v>
      </c>
      <c r="F318" s="417">
        <v>46093.0</v>
      </c>
      <c r="G318" s="242">
        <v>100.0</v>
      </c>
      <c r="H318" s="242" t="s">
        <v>474</v>
      </c>
      <c r="I318" s="242">
        <v>-68.81</v>
      </c>
      <c r="J318" s="242">
        <v>-934.25</v>
      </c>
      <c r="K318" s="242">
        <v>-53.01</v>
      </c>
      <c r="L318" s="242">
        <v>-21.37</v>
      </c>
      <c r="M318" s="242">
        <v>-0.18</v>
      </c>
      <c r="N318" s="242" t="s">
        <v>474</v>
      </c>
      <c r="O318" s="242" t="s">
        <v>474</v>
      </c>
      <c r="P318" s="242" t="s">
        <v>474</v>
      </c>
      <c r="Q318" s="242" t="s">
        <v>474</v>
      </c>
    </row>
    <row r="319">
      <c r="A319" s="242" t="s">
        <v>471</v>
      </c>
      <c r="B319" s="242" t="s">
        <v>634</v>
      </c>
      <c r="C319" s="242" t="s">
        <v>645</v>
      </c>
      <c r="E319" s="242" t="s">
        <v>474</v>
      </c>
      <c r="F319" s="417">
        <v>46108.0</v>
      </c>
      <c r="G319" s="242">
        <v>101.3694</v>
      </c>
      <c r="H319" s="242">
        <v>10.2</v>
      </c>
      <c r="I319" s="242">
        <v>9.97</v>
      </c>
      <c r="J319" s="242">
        <v>9.89</v>
      </c>
      <c r="K319" s="242">
        <v>9.94</v>
      </c>
      <c r="L319" s="242">
        <v>9.97</v>
      </c>
      <c r="M319" s="242" t="s">
        <v>474</v>
      </c>
      <c r="N319" s="242" t="s">
        <v>474</v>
      </c>
      <c r="O319" s="242" t="s">
        <v>474</v>
      </c>
      <c r="P319" s="242" t="s">
        <v>474</v>
      </c>
      <c r="Q319" s="242" t="s">
        <v>474</v>
      </c>
    </row>
    <row r="320">
      <c r="A320" s="242" t="s">
        <v>471</v>
      </c>
      <c r="B320" s="242" t="s">
        <v>634</v>
      </c>
      <c r="C320" s="242" t="s">
        <v>646</v>
      </c>
      <c r="E320" s="242" t="s">
        <v>474</v>
      </c>
      <c r="F320" s="417">
        <v>46108.0</v>
      </c>
      <c r="G320" s="242">
        <v>100.2819</v>
      </c>
      <c r="H320" s="242">
        <v>9.35</v>
      </c>
      <c r="I320" s="242">
        <v>9.35</v>
      </c>
      <c r="J320" s="242">
        <v>10.26</v>
      </c>
      <c r="K320" s="242" t="s">
        <v>474</v>
      </c>
      <c r="L320" s="242" t="s">
        <v>474</v>
      </c>
      <c r="M320" s="242" t="s">
        <v>474</v>
      </c>
      <c r="N320" s="242" t="s">
        <v>474</v>
      </c>
      <c r="O320" s="242" t="s">
        <v>474</v>
      </c>
      <c r="P320" s="242" t="s">
        <v>474</v>
      </c>
      <c r="Q320" s="242" t="s">
        <v>474</v>
      </c>
    </row>
    <row r="321">
      <c r="A321" s="242" t="s">
        <v>471</v>
      </c>
      <c r="B321" s="242" t="s">
        <v>634</v>
      </c>
      <c r="C321" s="242" t="s">
        <v>647</v>
      </c>
      <c r="E321" s="242" t="s">
        <v>474</v>
      </c>
      <c r="F321" s="417">
        <v>46105.0</v>
      </c>
      <c r="G321" s="242">
        <v>50.2016</v>
      </c>
      <c r="H321" s="242">
        <v>5.66</v>
      </c>
      <c r="I321" s="242">
        <v>6.13</v>
      </c>
      <c r="J321" s="242">
        <v>0.58</v>
      </c>
      <c r="K321" s="242">
        <v>4.7</v>
      </c>
      <c r="L321" s="242" t="s">
        <v>474</v>
      </c>
      <c r="M321" s="242" t="s">
        <v>474</v>
      </c>
      <c r="N321" s="242" t="s">
        <v>474</v>
      </c>
      <c r="O321" s="242" t="s">
        <v>474</v>
      </c>
      <c r="P321" s="242" t="s">
        <v>474</v>
      </c>
      <c r="Q321" s="242" t="s">
        <v>474</v>
      </c>
    </row>
    <row r="322">
      <c r="A322" s="242" t="s">
        <v>471</v>
      </c>
      <c r="B322" s="242" t="s">
        <v>634</v>
      </c>
      <c r="C322" s="242" t="s">
        <v>648</v>
      </c>
      <c r="E322" s="242" t="s">
        <v>474</v>
      </c>
      <c r="F322" s="417">
        <v>46105.0</v>
      </c>
      <c r="G322" s="242">
        <v>50.6406</v>
      </c>
      <c r="H322" s="242">
        <v>9.95</v>
      </c>
      <c r="I322" s="242">
        <v>9.89</v>
      </c>
      <c r="J322" s="242">
        <v>9.82</v>
      </c>
      <c r="K322" s="242">
        <v>9.86</v>
      </c>
      <c r="L322" s="242">
        <v>9.9</v>
      </c>
      <c r="M322" s="242" t="s">
        <v>474</v>
      </c>
      <c r="N322" s="242" t="s">
        <v>474</v>
      </c>
      <c r="O322" s="242" t="s">
        <v>474</v>
      </c>
      <c r="P322" s="242" t="s">
        <v>474</v>
      </c>
      <c r="Q322" s="242" t="s">
        <v>474</v>
      </c>
    </row>
    <row r="323">
      <c r="A323" s="242" t="s">
        <v>471</v>
      </c>
      <c r="B323" s="242" t="s">
        <v>634</v>
      </c>
      <c r="C323" s="242" t="s">
        <v>649</v>
      </c>
      <c r="E323" s="242" t="s">
        <v>474</v>
      </c>
      <c r="F323" s="417">
        <v>46105.0</v>
      </c>
      <c r="G323" s="242">
        <v>50.3533</v>
      </c>
      <c r="H323" s="242">
        <v>9.92</v>
      </c>
      <c r="I323" s="242">
        <v>9.92</v>
      </c>
      <c r="J323" s="242">
        <v>9.86</v>
      </c>
      <c r="K323" s="242">
        <v>9.89</v>
      </c>
      <c r="L323" s="242" t="s">
        <v>474</v>
      </c>
      <c r="M323" s="242" t="s">
        <v>474</v>
      </c>
      <c r="N323" s="242" t="s">
        <v>474</v>
      </c>
      <c r="O323" s="242" t="s">
        <v>474</v>
      </c>
      <c r="P323" s="242" t="s">
        <v>474</v>
      </c>
      <c r="Q323" s="242" t="s">
        <v>474</v>
      </c>
    </row>
    <row r="324">
      <c r="A324" s="242" t="s">
        <v>471</v>
      </c>
      <c r="B324" s="242" t="s">
        <v>634</v>
      </c>
      <c r="C324" s="242" t="s">
        <v>650</v>
      </c>
      <c r="E324" s="242" t="s">
        <v>474</v>
      </c>
      <c r="F324" s="417">
        <v>46105.0</v>
      </c>
      <c r="G324" s="242">
        <v>50.3508</v>
      </c>
      <c r="H324" s="242">
        <v>9.85</v>
      </c>
      <c r="I324" s="242">
        <v>9.83</v>
      </c>
      <c r="J324" s="242">
        <v>9.64</v>
      </c>
      <c r="K324" s="242">
        <v>9.82</v>
      </c>
      <c r="L324" s="242" t="s">
        <v>474</v>
      </c>
      <c r="M324" s="242" t="s">
        <v>474</v>
      </c>
      <c r="N324" s="242" t="s">
        <v>474</v>
      </c>
      <c r="O324" s="242" t="s">
        <v>474</v>
      </c>
      <c r="P324" s="242" t="s">
        <v>474</v>
      </c>
      <c r="Q324" s="242" t="s">
        <v>474</v>
      </c>
    </row>
    <row r="325">
      <c r="A325" s="242" t="s">
        <v>471</v>
      </c>
      <c r="B325" s="242" t="s">
        <v>634</v>
      </c>
      <c r="C325" s="242" t="s">
        <v>651</v>
      </c>
      <c r="E325" s="242" t="s">
        <v>474</v>
      </c>
      <c r="F325" s="417">
        <v>46105.0</v>
      </c>
      <c r="G325" s="242">
        <v>50.1674</v>
      </c>
      <c r="H325" s="242">
        <v>10.18</v>
      </c>
      <c r="I325" s="242">
        <v>10.18</v>
      </c>
      <c r="J325" s="242">
        <v>10.18</v>
      </c>
      <c r="K325" s="242" t="s">
        <v>474</v>
      </c>
      <c r="L325" s="242" t="s">
        <v>474</v>
      </c>
      <c r="M325" s="242" t="s">
        <v>474</v>
      </c>
      <c r="N325" s="242" t="s">
        <v>474</v>
      </c>
      <c r="O325" s="242" t="s">
        <v>474</v>
      </c>
      <c r="P325" s="242" t="s">
        <v>474</v>
      </c>
      <c r="Q325" s="242" t="s">
        <v>474</v>
      </c>
    </row>
    <row r="326">
      <c r="A326" s="242" t="s">
        <v>471</v>
      </c>
      <c r="B326" s="242" t="s">
        <v>634</v>
      </c>
      <c r="C326" s="242" t="s">
        <v>652</v>
      </c>
      <c r="E326" s="242" t="s">
        <v>474</v>
      </c>
      <c r="F326" s="417">
        <v>46108.0</v>
      </c>
      <c r="G326" s="242">
        <v>10.1056</v>
      </c>
      <c r="H326" s="242">
        <v>5.84</v>
      </c>
      <c r="I326" s="242" t="s">
        <v>474</v>
      </c>
      <c r="J326" s="242" t="s">
        <v>474</v>
      </c>
      <c r="K326" s="242" t="s">
        <v>474</v>
      </c>
      <c r="L326" s="242">
        <v>9.06</v>
      </c>
      <c r="M326" s="242" t="s">
        <v>474</v>
      </c>
      <c r="N326" s="242" t="s">
        <v>474</v>
      </c>
      <c r="O326" s="242" t="s">
        <v>474</v>
      </c>
      <c r="P326" s="242" t="s">
        <v>474</v>
      </c>
      <c r="Q326" s="242" t="s">
        <v>474</v>
      </c>
    </row>
    <row r="327">
      <c r="A327" s="242" t="s">
        <v>471</v>
      </c>
      <c r="B327" s="242" t="s">
        <v>634</v>
      </c>
      <c r="C327" s="242" t="s">
        <v>653</v>
      </c>
      <c r="E327" s="242" t="s">
        <v>474</v>
      </c>
      <c r="F327" s="417">
        <v>46108.0</v>
      </c>
      <c r="G327" s="242">
        <v>10.0518</v>
      </c>
      <c r="H327" s="242">
        <v>4.11</v>
      </c>
      <c r="I327" s="242" t="s">
        <v>474</v>
      </c>
      <c r="J327" s="242" t="s">
        <v>474</v>
      </c>
      <c r="K327" s="242" t="s">
        <v>474</v>
      </c>
      <c r="L327" s="242">
        <v>6.3</v>
      </c>
      <c r="M327" s="242" t="s">
        <v>474</v>
      </c>
      <c r="N327" s="242" t="s">
        <v>474</v>
      </c>
      <c r="O327" s="242" t="s">
        <v>474</v>
      </c>
      <c r="P327" s="242" t="s">
        <v>474</v>
      </c>
      <c r="Q327" s="242" t="s">
        <v>474</v>
      </c>
    </row>
    <row r="328">
      <c r="A328" s="242" t="s">
        <v>471</v>
      </c>
      <c r="B328" s="242" t="s">
        <v>634</v>
      </c>
      <c r="C328" s="242" t="s">
        <v>654</v>
      </c>
      <c r="E328" s="242" t="s">
        <v>474</v>
      </c>
      <c r="F328" s="417">
        <v>46108.0</v>
      </c>
      <c r="G328" s="242">
        <v>10.0125</v>
      </c>
      <c r="H328" s="242">
        <v>1.43</v>
      </c>
      <c r="I328" s="242" t="s">
        <v>474</v>
      </c>
      <c r="J328" s="242" t="s">
        <v>474</v>
      </c>
      <c r="K328" s="242" t="s">
        <v>474</v>
      </c>
      <c r="L328" s="242">
        <v>1.52</v>
      </c>
      <c r="M328" s="242" t="s">
        <v>474</v>
      </c>
      <c r="N328" s="242" t="s">
        <v>474</v>
      </c>
      <c r="O328" s="242" t="s">
        <v>474</v>
      </c>
      <c r="P328" s="242" t="s">
        <v>474</v>
      </c>
      <c r="Q328" s="242" t="s">
        <v>474</v>
      </c>
    </row>
    <row r="329">
      <c r="A329" s="242" t="s">
        <v>471</v>
      </c>
      <c r="B329" s="242" t="s">
        <v>634</v>
      </c>
      <c r="C329" s="242" t="s">
        <v>655</v>
      </c>
      <c r="E329" s="242" t="s">
        <v>474</v>
      </c>
      <c r="F329" s="417">
        <v>46108.0</v>
      </c>
      <c r="G329" s="242">
        <v>10.0</v>
      </c>
      <c r="H329" s="242" t="s">
        <v>474</v>
      </c>
      <c r="I329" s="242" t="s">
        <v>474</v>
      </c>
      <c r="J329" s="242" t="s">
        <v>474</v>
      </c>
      <c r="K329" s="242" t="s">
        <v>474</v>
      </c>
      <c r="L329" s="242" t="s">
        <v>474</v>
      </c>
      <c r="M329" s="242" t="s">
        <v>474</v>
      </c>
      <c r="N329" s="242" t="s">
        <v>474</v>
      </c>
      <c r="O329" s="242" t="s">
        <v>474</v>
      </c>
      <c r="P329" s="242" t="s">
        <v>474</v>
      </c>
      <c r="Q329" s="242" t="s">
        <v>474</v>
      </c>
    </row>
    <row r="330">
      <c r="A330" s="242" t="s">
        <v>471</v>
      </c>
      <c r="B330" s="242" t="s">
        <v>656</v>
      </c>
      <c r="C330" s="242" t="s">
        <v>657</v>
      </c>
      <c r="D330" s="242"/>
      <c r="E330" s="242" t="s">
        <v>474</v>
      </c>
      <c r="F330" s="417">
        <v>46107.0</v>
      </c>
      <c r="G330" s="242">
        <v>110.0835</v>
      </c>
      <c r="H330" s="242">
        <v>9.47</v>
      </c>
      <c r="I330" s="242">
        <v>-1.18</v>
      </c>
      <c r="J330" s="242">
        <v>-0.85</v>
      </c>
      <c r="K330" s="242">
        <v>0.02</v>
      </c>
      <c r="L330" s="242">
        <v>-0.85</v>
      </c>
      <c r="M330" s="242">
        <v>-1.64</v>
      </c>
      <c r="N330" s="242">
        <v>0.02</v>
      </c>
      <c r="O330" s="242">
        <v>10.02</v>
      </c>
      <c r="P330" s="242">
        <v>12.0</v>
      </c>
      <c r="Q330" s="242">
        <v>44.65</v>
      </c>
    </row>
    <row r="331">
      <c r="A331" s="242" t="s">
        <v>471</v>
      </c>
      <c r="B331" s="242" t="s">
        <v>658</v>
      </c>
      <c r="C331" s="242" t="s">
        <v>278</v>
      </c>
      <c r="D331" s="242" t="s">
        <v>479</v>
      </c>
      <c r="E331" s="242" t="s">
        <v>474</v>
      </c>
      <c r="F331" s="417">
        <v>46110.0</v>
      </c>
      <c r="G331" s="242">
        <v>108.0434</v>
      </c>
      <c r="H331" s="242">
        <v>9.36</v>
      </c>
      <c r="I331" s="242">
        <v>2.74</v>
      </c>
      <c r="J331" s="242">
        <v>8.14</v>
      </c>
      <c r="K331" s="242">
        <v>1.78</v>
      </c>
      <c r="L331" s="242">
        <v>2.93</v>
      </c>
      <c r="M331" s="242">
        <v>8.13</v>
      </c>
      <c r="N331" s="242">
        <v>8.49</v>
      </c>
      <c r="O331" s="242">
        <v>9.24</v>
      </c>
      <c r="P331" s="242">
        <v>10.33</v>
      </c>
      <c r="Q331" s="242">
        <v>21.02</v>
      </c>
    </row>
    <row r="332">
      <c r="A332" s="242" t="s">
        <v>471</v>
      </c>
      <c r="B332" s="242" t="s">
        <v>658</v>
      </c>
      <c r="C332" s="242" t="s">
        <v>282</v>
      </c>
      <c r="D332" s="242" t="s">
        <v>479</v>
      </c>
      <c r="E332" s="242" t="s">
        <v>474</v>
      </c>
      <c r="F332" s="417">
        <v>46110.0</v>
      </c>
      <c r="G332" s="242">
        <v>119.5888</v>
      </c>
      <c r="H332" s="242">
        <v>26.29</v>
      </c>
      <c r="I332" s="242">
        <v>7.81</v>
      </c>
      <c r="J332" s="242">
        <v>7.92</v>
      </c>
      <c r="K332" s="242">
        <v>7.86</v>
      </c>
      <c r="L332" s="242">
        <v>7.82</v>
      </c>
      <c r="M332" s="242">
        <v>6.27</v>
      </c>
      <c r="N332" s="242">
        <v>8.22</v>
      </c>
      <c r="O332" s="242">
        <v>26.35</v>
      </c>
      <c r="P332" s="242">
        <v>63.35</v>
      </c>
      <c r="Q332" s="242">
        <v>47.43</v>
      </c>
    </row>
    <row r="333">
      <c r="A333" s="242" t="s">
        <v>471</v>
      </c>
      <c r="B333" s="242" t="s">
        <v>658</v>
      </c>
      <c r="C333" s="242" t="s">
        <v>284</v>
      </c>
      <c r="D333" s="242" t="s">
        <v>479</v>
      </c>
      <c r="E333" s="242" t="s">
        <v>474</v>
      </c>
      <c r="F333" s="417">
        <v>46108.0</v>
      </c>
      <c r="G333" s="242">
        <v>106.8292</v>
      </c>
      <c r="H333" s="242">
        <v>8.57</v>
      </c>
      <c r="I333" s="242">
        <v>7.88</v>
      </c>
      <c r="J333" s="242">
        <v>7.85</v>
      </c>
      <c r="K333" s="242">
        <v>7.83</v>
      </c>
      <c r="L333" s="242">
        <v>7.91</v>
      </c>
      <c r="M333" s="242">
        <v>8.39</v>
      </c>
      <c r="N333" s="242">
        <v>8.52</v>
      </c>
      <c r="O333" s="242">
        <v>8.57</v>
      </c>
      <c r="P333" s="242">
        <v>9.19</v>
      </c>
      <c r="Q333" s="242">
        <v>13.43</v>
      </c>
    </row>
    <row r="334">
      <c r="A334" s="242" t="s">
        <v>471</v>
      </c>
      <c r="B334" s="242" t="s">
        <v>658</v>
      </c>
      <c r="C334" s="242" t="s">
        <v>270</v>
      </c>
      <c r="E334" s="242" t="s">
        <v>474</v>
      </c>
      <c r="F334" s="417">
        <v>46108.0</v>
      </c>
      <c r="G334" s="242">
        <v>107.0593</v>
      </c>
      <c r="H334" s="242">
        <v>9.37</v>
      </c>
      <c r="I334" s="242">
        <v>8.41</v>
      </c>
      <c r="J334" s="242">
        <v>8.69</v>
      </c>
      <c r="K334" s="242">
        <v>8.36</v>
      </c>
      <c r="L334" s="242">
        <v>8.41</v>
      </c>
      <c r="M334" s="242">
        <v>8.77</v>
      </c>
      <c r="N334" s="242">
        <v>8.95</v>
      </c>
      <c r="O334" s="242">
        <v>9.37</v>
      </c>
      <c r="P334" s="242">
        <v>9.49</v>
      </c>
      <c r="Q334" s="242" t="s">
        <v>474</v>
      </c>
    </row>
    <row r="335">
      <c r="A335" s="242" t="s">
        <v>471</v>
      </c>
      <c r="B335" s="242" t="s">
        <v>658</v>
      </c>
      <c r="C335" s="242" t="s">
        <v>223</v>
      </c>
      <c r="E335" s="242" t="s">
        <v>474</v>
      </c>
      <c r="F335" s="417">
        <v>46108.0</v>
      </c>
      <c r="G335" s="242">
        <v>103.0343</v>
      </c>
      <c r="H335" s="242">
        <v>10.35</v>
      </c>
      <c r="I335" s="242">
        <v>9.85</v>
      </c>
      <c r="J335" s="242">
        <v>10.77</v>
      </c>
      <c r="K335" s="242">
        <v>9.85</v>
      </c>
      <c r="L335" s="242">
        <v>9.92</v>
      </c>
      <c r="M335" s="242">
        <v>10.14</v>
      </c>
      <c r="N335" s="242" t="s">
        <v>474</v>
      </c>
      <c r="O335" s="242" t="s">
        <v>474</v>
      </c>
      <c r="P335" s="242" t="s">
        <v>474</v>
      </c>
      <c r="Q335" s="242" t="s">
        <v>474</v>
      </c>
    </row>
    <row r="336">
      <c r="A336" s="242" t="s">
        <v>471</v>
      </c>
      <c r="B336" s="242" t="s">
        <v>659</v>
      </c>
      <c r="C336" s="242" t="s">
        <v>660</v>
      </c>
      <c r="E336" s="242" t="s">
        <v>474</v>
      </c>
      <c r="F336" s="417">
        <v>46106.0</v>
      </c>
      <c r="G336" s="242">
        <v>26.4745</v>
      </c>
      <c r="H336" s="242">
        <v>11.2</v>
      </c>
      <c r="I336" s="242">
        <v>-1.83</v>
      </c>
      <c r="J336" s="242">
        <v>2.01</v>
      </c>
      <c r="K336" s="242">
        <v>0.93</v>
      </c>
      <c r="L336" s="242">
        <v>-1.55</v>
      </c>
      <c r="M336" s="242">
        <v>-4.74</v>
      </c>
      <c r="N336" s="242">
        <v>-3.45</v>
      </c>
      <c r="O336" s="242">
        <v>11.29</v>
      </c>
      <c r="P336" s="242">
        <v>16.45</v>
      </c>
      <c r="Q336" s="242">
        <v>64.16</v>
      </c>
    </row>
    <row r="337">
      <c r="A337" s="242" t="s">
        <v>471</v>
      </c>
      <c r="B337" s="242" t="s">
        <v>661</v>
      </c>
      <c r="C337" s="242" t="s">
        <v>662</v>
      </c>
      <c r="E337" s="242" t="s">
        <v>474</v>
      </c>
      <c r="F337" s="417">
        <v>46108.0</v>
      </c>
      <c r="G337" s="242">
        <v>10.1513</v>
      </c>
      <c r="H337" s="242">
        <v>1.94</v>
      </c>
      <c r="I337" s="242">
        <v>-0.22</v>
      </c>
      <c r="J337" s="242">
        <v>-0.02</v>
      </c>
      <c r="K337" s="242">
        <v>-0.11</v>
      </c>
      <c r="L337" s="242">
        <v>-0.22</v>
      </c>
      <c r="M337" s="242">
        <v>0.25</v>
      </c>
      <c r="N337" s="242">
        <v>1.86</v>
      </c>
      <c r="O337" s="242">
        <v>1.94</v>
      </c>
      <c r="P337" s="242">
        <v>2.84</v>
      </c>
      <c r="Q337" s="242">
        <v>13.42</v>
      </c>
    </row>
    <row r="338">
      <c r="A338" s="242" t="s">
        <v>471</v>
      </c>
      <c r="B338" s="242" t="s">
        <v>661</v>
      </c>
      <c r="C338" s="242" t="s">
        <v>663</v>
      </c>
      <c r="E338" s="242" t="s">
        <v>474</v>
      </c>
      <c r="F338" s="417">
        <v>46110.0</v>
      </c>
      <c r="G338" s="242">
        <v>214.4233</v>
      </c>
      <c r="H338" s="242">
        <v>11.17</v>
      </c>
      <c r="I338" s="242">
        <v>-2.2</v>
      </c>
      <c r="J338" s="242">
        <v>0.01</v>
      </c>
      <c r="K338" s="242">
        <v>0.3</v>
      </c>
      <c r="L338" s="242">
        <v>-2.18</v>
      </c>
      <c r="M338" s="242">
        <v>-3.05</v>
      </c>
      <c r="N338" s="242">
        <v>-1.03</v>
      </c>
      <c r="O338" s="242">
        <v>10.69</v>
      </c>
      <c r="P338" s="242">
        <v>16.02</v>
      </c>
      <c r="Q338" s="242">
        <v>59.88</v>
      </c>
    </row>
    <row r="339">
      <c r="A339" s="242" t="s">
        <v>471</v>
      </c>
      <c r="B339" s="242" t="s">
        <v>661</v>
      </c>
      <c r="C339" s="242" t="s">
        <v>664</v>
      </c>
      <c r="E339" s="242" t="s">
        <v>474</v>
      </c>
      <c r="F339" s="417">
        <v>46108.0</v>
      </c>
      <c r="G339" s="242">
        <v>138.3066</v>
      </c>
      <c r="H339" s="242">
        <v>7.3</v>
      </c>
      <c r="I339" s="242">
        <v>0.51</v>
      </c>
      <c r="J339" s="242">
        <v>0.01</v>
      </c>
      <c r="K339" s="242">
        <v>0.26</v>
      </c>
      <c r="L339" s="242">
        <v>0.6</v>
      </c>
      <c r="M339" s="242">
        <v>2.25</v>
      </c>
      <c r="N339" s="242">
        <v>4.63</v>
      </c>
      <c r="O339" s="242">
        <v>7.3</v>
      </c>
      <c r="P339" s="242">
        <v>11.07</v>
      </c>
      <c r="Q339" s="242">
        <v>31.5</v>
      </c>
    </row>
    <row r="340">
      <c r="A340" s="242" t="s">
        <v>471</v>
      </c>
      <c r="B340" s="242" t="s">
        <v>661</v>
      </c>
      <c r="C340" s="242" t="s">
        <v>665</v>
      </c>
      <c r="E340" s="242" t="s">
        <v>474</v>
      </c>
      <c r="F340" s="417">
        <v>46108.0</v>
      </c>
      <c r="G340" s="242">
        <v>197.7422</v>
      </c>
      <c r="H340" s="242">
        <v>13.26</v>
      </c>
      <c r="I340" s="242">
        <v>-6.93</v>
      </c>
      <c r="J340" s="242">
        <v>-0.48</v>
      </c>
      <c r="K340" s="242">
        <v>0.34</v>
      </c>
      <c r="L340" s="242">
        <v>-5.07</v>
      </c>
      <c r="M340" s="242">
        <v>-9.62</v>
      </c>
      <c r="N340" s="242">
        <v>-5.93</v>
      </c>
      <c r="O340" s="242">
        <v>13.26</v>
      </c>
      <c r="P340" s="242">
        <v>24.22</v>
      </c>
      <c r="Q340" s="242">
        <v>111.36</v>
      </c>
    </row>
    <row r="341">
      <c r="A341" s="242" t="s">
        <v>471</v>
      </c>
      <c r="B341" s="242" t="s">
        <v>661</v>
      </c>
      <c r="C341" s="242" t="s">
        <v>666</v>
      </c>
      <c r="E341" s="242" t="s">
        <v>474</v>
      </c>
      <c r="F341" s="417">
        <v>46108.0</v>
      </c>
      <c r="G341" s="242">
        <v>165.0809</v>
      </c>
      <c r="H341" s="242">
        <v>-8.26</v>
      </c>
      <c r="I341" s="242">
        <v>-6.86</v>
      </c>
      <c r="J341" s="242">
        <v>-0.79</v>
      </c>
      <c r="K341" s="242">
        <v>-0.56</v>
      </c>
      <c r="L341" s="242">
        <v>-4.95</v>
      </c>
      <c r="M341" s="242">
        <v>-11.01</v>
      </c>
      <c r="N341" s="242">
        <v>-10.13</v>
      </c>
      <c r="O341" s="242" t="s">
        <v>474</v>
      </c>
      <c r="P341" s="242" t="s">
        <v>474</v>
      </c>
      <c r="Q341" s="242" t="s">
        <v>474</v>
      </c>
    </row>
    <row r="342">
      <c r="A342" s="242" t="s">
        <v>471</v>
      </c>
      <c r="B342" s="242" t="s">
        <v>661</v>
      </c>
      <c r="C342" s="242" t="s">
        <v>667</v>
      </c>
      <c r="E342" s="242" t="s">
        <v>474</v>
      </c>
      <c r="F342" s="417">
        <v>46108.0</v>
      </c>
      <c r="G342" s="242">
        <v>96.9126</v>
      </c>
      <c r="H342" s="242">
        <v>7.76</v>
      </c>
      <c r="I342" s="242">
        <v>0.45</v>
      </c>
      <c r="J342" s="242">
        <v>0.03</v>
      </c>
      <c r="K342" s="242">
        <v>0.29</v>
      </c>
      <c r="L342" s="242">
        <v>0.51</v>
      </c>
      <c r="M342" s="242">
        <v>2.32</v>
      </c>
      <c r="N342" s="242">
        <v>4.86</v>
      </c>
      <c r="O342" s="242">
        <v>7.76</v>
      </c>
      <c r="P342" s="242">
        <v>11.82</v>
      </c>
      <c r="Q342" s="242">
        <v>35.61</v>
      </c>
    </row>
    <row r="343">
      <c r="A343" s="242" t="s">
        <v>471</v>
      </c>
      <c r="B343" s="242" t="s">
        <v>661</v>
      </c>
      <c r="C343" s="242" t="s">
        <v>668</v>
      </c>
      <c r="E343" s="242" t="s">
        <v>474</v>
      </c>
      <c r="F343" s="417">
        <v>46108.0</v>
      </c>
      <c r="G343" s="242">
        <v>111.0335</v>
      </c>
      <c r="H343" s="242">
        <v>9.75</v>
      </c>
      <c r="I343" s="242">
        <v>-5.81</v>
      </c>
      <c r="J343" s="242">
        <v>-0.63</v>
      </c>
      <c r="K343" s="242">
        <v>-1.25</v>
      </c>
      <c r="L343" s="242">
        <v>-4.64</v>
      </c>
      <c r="M343" s="242">
        <v>-8.54</v>
      </c>
      <c r="N343" s="242">
        <v>-7.13</v>
      </c>
      <c r="O343" s="242">
        <v>9.75</v>
      </c>
      <c r="P343" s="242">
        <v>6.52</v>
      </c>
      <c r="Q343" s="242" t="s">
        <v>474</v>
      </c>
    </row>
    <row r="344">
      <c r="A344" s="242" t="s">
        <v>471</v>
      </c>
      <c r="B344" s="242" t="s">
        <v>661</v>
      </c>
      <c r="C344" s="242" t="s">
        <v>669</v>
      </c>
      <c r="E344" s="242" t="s">
        <v>474</v>
      </c>
      <c r="F344" s="417">
        <v>46108.0</v>
      </c>
      <c r="G344" s="242">
        <v>103.5118</v>
      </c>
      <c r="H344" s="242">
        <v>3.75</v>
      </c>
      <c r="I344" s="242">
        <v>-0.21</v>
      </c>
      <c r="J344" s="242">
        <v>-0.03</v>
      </c>
      <c r="K344" s="242">
        <v>0.29</v>
      </c>
      <c r="L344" s="242">
        <v>0.12</v>
      </c>
      <c r="M344" s="242">
        <v>0.5</v>
      </c>
      <c r="N344" s="242">
        <v>3.46</v>
      </c>
      <c r="O344" s="242" t="s">
        <v>474</v>
      </c>
      <c r="P344" s="242" t="s">
        <v>474</v>
      </c>
      <c r="Q344" s="242" t="s">
        <v>474</v>
      </c>
    </row>
    <row r="345">
      <c r="A345" s="242" t="s">
        <v>471</v>
      </c>
      <c r="B345" s="242" t="s">
        <v>661</v>
      </c>
      <c r="C345" s="242" t="s">
        <v>670</v>
      </c>
      <c r="E345" s="242" t="s">
        <v>474</v>
      </c>
      <c r="F345" s="417">
        <v>46108.0</v>
      </c>
      <c r="G345" s="242">
        <v>103.3677</v>
      </c>
      <c r="H345" s="242">
        <v>3.37</v>
      </c>
      <c r="I345" s="242">
        <v>0.45</v>
      </c>
      <c r="J345" s="242" t="s">
        <v>474</v>
      </c>
      <c r="K345" s="242">
        <v>0.3</v>
      </c>
      <c r="L345" s="242">
        <v>0.6</v>
      </c>
      <c r="M345" s="242">
        <v>2.63</v>
      </c>
      <c r="N345" s="242" t="s">
        <v>474</v>
      </c>
      <c r="O345" s="242" t="s">
        <v>474</v>
      </c>
      <c r="P345" s="242" t="s">
        <v>474</v>
      </c>
      <c r="Q345" s="242" t="s">
        <v>474</v>
      </c>
    </row>
    <row r="346">
      <c r="A346" s="242" t="s">
        <v>471</v>
      </c>
      <c r="B346" s="242" t="s">
        <v>661</v>
      </c>
      <c r="C346" s="242" t="s">
        <v>671</v>
      </c>
      <c r="E346" s="242" t="s">
        <v>474</v>
      </c>
      <c r="F346" s="417">
        <v>46108.0</v>
      </c>
      <c r="G346" s="242">
        <v>101.692</v>
      </c>
      <c r="H346" s="242">
        <v>1.69</v>
      </c>
      <c r="I346" s="242">
        <v>0.55</v>
      </c>
      <c r="J346" s="242">
        <v>-0.03</v>
      </c>
      <c r="K346" s="242">
        <v>0.35</v>
      </c>
      <c r="L346" s="242">
        <v>1.22</v>
      </c>
      <c r="M346" s="242" t="s">
        <v>474</v>
      </c>
      <c r="N346" s="242" t="s">
        <v>474</v>
      </c>
      <c r="O346" s="242" t="s">
        <v>474</v>
      </c>
      <c r="P346" s="242" t="s">
        <v>474</v>
      </c>
      <c r="Q346" s="242" t="s">
        <v>474</v>
      </c>
    </row>
    <row r="347">
      <c r="A347" s="242" t="s">
        <v>471</v>
      </c>
      <c r="B347" s="242" t="s">
        <v>661</v>
      </c>
      <c r="C347" s="242" t="s">
        <v>672</v>
      </c>
      <c r="E347" s="242" t="s">
        <v>474</v>
      </c>
      <c r="F347" s="417">
        <v>46107.0</v>
      </c>
      <c r="G347" s="242">
        <v>280.5898</v>
      </c>
      <c r="H347" s="242">
        <v>10.79</v>
      </c>
      <c r="I347" s="242">
        <v>-6.58</v>
      </c>
      <c r="J347" s="242">
        <v>-3.34</v>
      </c>
      <c r="K347" s="242">
        <v>-1.15</v>
      </c>
      <c r="L347" s="242">
        <v>-5.86</v>
      </c>
      <c r="M347" s="242">
        <v>-11.79</v>
      </c>
      <c r="N347" s="242">
        <v>-7.85</v>
      </c>
      <c r="O347" s="242">
        <v>10.67</v>
      </c>
      <c r="P347" s="242">
        <v>9.17</v>
      </c>
      <c r="Q347" s="242">
        <v>91.76</v>
      </c>
    </row>
    <row r="348">
      <c r="A348" s="242" t="s">
        <v>471</v>
      </c>
      <c r="B348" s="242" t="s">
        <v>661</v>
      </c>
      <c r="C348" s="242" t="s">
        <v>673</v>
      </c>
      <c r="E348" s="242" t="s">
        <v>474</v>
      </c>
      <c r="F348" s="417">
        <v>46107.0</v>
      </c>
      <c r="G348" s="242">
        <v>86.2185</v>
      </c>
      <c r="H348" s="242">
        <v>0.21</v>
      </c>
      <c r="I348" s="242">
        <v>-6.64</v>
      </c>
      <c r="J348" s="242">
        <v>-2.0</v>
      </c>
      <c r="K348" s="242">
        <v>-1.33</v>
      </c>
      <c r="L348" s="242">
        <v>-6.31</v>
      </c>
      <c r="M348" s="242">
        <v>-9.52</v>
      </c>
      <c r="N348" s="242">
        <v>-8.27</v>
      </c>
      <c r="O348" s="242">
        <v>0.33</v>
      </c>
      <c r="P348" s="242">
        <v>2.47</v>
      </c>
      <c r="Q348" s="242">
        <v>31.97</v>
      </c>
    </row>
    <row r="349">
      <c r="A349" s="242" t="s">
        <v>471</v>
      </c>
      <c r="B349" s="242" t="s">
        <v>661</v>
      </c>
      <c r="C349" s="242" t="s">
        <v>674</v>
      </c>
      <c r="E349" s="242" t="s">
        <v>474</v>
      </c>
      <c r="F349" s="417">
        <v>46108.0</v>
      </c>
      <c r="G349" s="242">
        <v>103.088</v>
      </c>
      <c r="H349" s="242">
        <v>8.49</v>
      </c>
      <c r="I349" s="242">
        <v>-7.1</v>
      </c>
      <c r="J349" s="242">
        <v>-0.99</v>
      </c>
      <c r="K349" s="242">
        <v>-1.0</v>
      </c>
      <c r="L349" s="242">
        <v>-5.06</v>
      </c>
      <c r="M349" s="242">
        <v>-13.53</v>
      </c>
      <c r="N349" s="242">
        <v>-11.96</v>
      </c>
      <c r="O349" s="242">
        <v>8.49</v>
      </c>
      <c r="P349" s="242">
        <v>14.77</v>
      </c>
      <c r="Q349" s="242">
        <v>87.52</v>
      </c>
    </row>
    <row r="350">
      <c r="A350" s="242" t="s">
        <v>471</v>
      </c>
      <c r="B350" s="242" t="s">
        <v>661</v>
      </c>
      <c r="C350" s="242" t="s">
        <v>675</v>
      </c>
      <c r="E350" s="242" t="s">
        <v>474</v>
      </c>
      <c r="F350" s="417">
        <v>46108.0</v>
      </c>
      <c r="G350" s="242">
        <v>80.3557</v>
      </c>
      <c r="H350" s="242">
        <v>18.49</v>
      </c>
      <c r="I350" s="242">
        <v>-7.53</v>
      </c>
      <c r="J350" s="242">
        <v>-0.62</v>
      </c>
      <c r="K350" s="242">
        <v>-1.74</v>
      </c>
      <c r="L350" s="242">
        <v>-4.8</v>
      </c>
      <c r="M350" s="242">
        <v>-8.58</v>
      </c>
      <c r="N350" s="242">
        <v>-4.64</v>
      </c>
      <c r="O350" s="242">
        <v>18.49</v>
      </c>
      <c r="P350" s="242">
        <v>26.79</v>
      </c>
      <c r="Q350" s="242" t="s">
        <v>474</v>
      </c>
    </row>
    <row r="351">
      <c r="A351" s="242" t="s">
        <v>471</v>
      </c>
      <c r="B351" s="242" t="s">
        <v>661</v>
      </c>
      <c r="C351" s="242" t="s">
        <v>676</v>
      </c>
      <c r="E351" s="242" t="s">
        <v>474</v>
      </c>
      <c r="F351" s="417">
        <v>46108.0</v>
      </c>
      <c r="G351" s="242">
        <v>32.1402</v>
      </c>
      <c r="H351" s="242">
        <v>15.48</v>
      </c>
      <c r="I351" s="242">
        <v>-9.1</v>
      </c>
      <c r="J351" s="242">
        <v>-1.34</v>
      </c>
      <c r="K351" s="242">
        <v>-1.17</v>
      </c>
      <c r="L351" s="242">
        <v>-6.48</v>
      </c>
      <c r="M351" s="242">
        <v>-12.55</v>
      </c>
      <c r="N351" s="242">
        <v>-7.3</v>
      </c>
      <c r="O351" s="242">
        <v>15.48</v>
      </c>
      <c r="P351" s="242">
        <v>16.13</v>
      </c>
      <c r="Q351" s="242">
        <v>89.65</v>
      </c>
    </row>
    <row r="352">
      <c r="A352" s="242" t="s">
        <v>471</v>
      </c>
      <c r="B352" s="242" t="s">
        <v>661</v>
      </c>
      <c r="C352" s="242" t="s">
        <v>677</v>
      </c>
      <c r="E352" s="242" t="s">
        <v>474</v>
      </c>
      <c r="F352" s="417">
        <v>46108.0</v>
      </c>
      <c r="G352" s="242">
        <v>39.9763</v>
      </c>
      <c r="H352" s="242">
        <v>0.66</v>
      </c>
      <c r="I352" s="242">
        <v>-9.49</v>
      </c>
      <c r="J352" s="242">
        <v>-0.98</v>
      </c>
      <c r="K352" s="242">
        <v>0.01</v>
      </c>
      <c r="L352" s="242">
        <v>-7.51</v>
      </c>
      <c r="M352" s="242">
        <v>-16.25</v>
      </c>
      <c r="N352" s="242">
        <v>-14.76</v>
      </c>
      <c r="O352" s="242">
        <v>0.66</v>
      </c>
      <c r="P352" s="242">
        <v>-1.82</v>
      </c>
      <c r="Q352" s="242">
        <v>43.03</v>
      </c>
    </row>
    <row r="353">
      <c r="A353" s="242" t="s">
        <v>471</v>
      </c>
      <c r="B353" s="242" t="s">
        <v>661</v>
      </c>
      <c r="C353" s="242" t="s">
        <v>678</v>
      </c>
      <c r="E353" s="242" t="s">
        <v>474</v>
      </c>
      <c r="F353" s="417">
        <v>46108.0</v>
      </c>
      <c r="G353" s="242">
        <v>127.8663</v>
      </c>
      <c r="H353" s="242">
        <v>7.65</v>
      </c>
      <c r="I353" s="242">
        <v>0.21</v>
      </c>
      <c r="J353" s="242">
        <v>0.14</v>
      </c>
      <c r="K353" s="242">
        <v>0.28</v>
      </c>
      <c r="L353" s="242">
        <v>0.28</v>
      </c>
      <c r="M353" s="242">
        <v>2.18</v>
      </c>
      <c r="N353" s="242">
        <v>4.57</v>
      </c>
      <c r="O353" s="242">
        <v>7.65</v>
      </c>
      <c r="P353" s="242">
        <v>11.59</v>
      </c>
      <c r="Q353" s="242">
        <v>34.12</v>
      </c>
    </row>
    <row r="354">
      <c r="A354" s="242" t="s">
        <v>471</v>
      </c>
      <c r="B354" s="242" t="s">
        <v>661</v>
      </c>
      <c r="C354" s="242" t="s">
        <v>679</v>
      </c>
      <c r="E354" s="242" t="s">
        <v>474</v>
      </c>
      <c r="F354" s="417">
        <v>46108.0</v>
      </c>
      <c r="G354" s="242">
        <v>125.0422</v>
      </c>
      <c r="H354" s="242">
        <v>7.25</v>
      </c>
      <c r="I354" s="242">
        <v>-0.06</v>
      </c>
      <c r="J354" s="242">
        <v>-0.03</v>
      </c>
      <c r="K354" s="242">
        <v>-0.02</v>
      </c>
      <c r="L354" s="242">
        <v>0.02</v>
      </c>
      <c r="M354" s="242">
        <v>1.95</v>
      </c>
      <c r="N354" s="242">
        <v>4.26</v>
      </c>
      <c r="O354" s="242">
        <v>7.25</v>
      </c>
      <c r="P354" s="242">
        <v>11.34</v>
      </c>
      <c r="Q354" s="242">
        <v>31.68</v>
      </c>
    </row>
    <row r="355">
      <c r="A355" s="242" t="s">
        <v>471</v>
      </c>
      <c r="B355" s="242" t="s">
        <v>661</v>
      </c>
      <c r="C355" s="242" t="s">
        <v>680</v>
      </c>
      <c r="E355" s="242" t="s">
        <v>474</v>
      </c>
      <c r="F355" s="417">
        <v>46108.0</v>
      </c>
      <c r="G355" s="242">
        <v>159.9493</v>
      </c>
      <c r="H355" s="242">
        <v>11.43</v>
      </c>
      <c r="I355" s="242">
        <v>-5.11</v>
      </c>
      <c r="J355" s="242">
        <v>-0.92</v>
      </c>
      <c r="K355" s="242">
        <v>-0.72</v>
      </c>
      <c r="L355" s="242">
        <v>-2.67</v>
      </c>
      <c r="M355" s="242">
        <v>-7.77</v>
      </c>
      <c r="N355" s="242">
        <v>-8.56</v>
      </c>
      <c r="O355" s="242">
        <v>11.43</v>
      </c>
      <c r="P355" s="242">
        <v>9.96</v>
      </c>
      <c r="Q355" s="242" t="s">
        <v>474</v>
      </c>
    </row>
    <row r="356">
      <c r="A356" s="242" t="s">
        <v>471</v>
      </c>
      <c r="B356" s="242" t="s">
        <v>681</v>
      </c>
      <c r="C356" s="242" t="s">
        <v>682</v>
      </c>
      <c r="E356" s="242" t="s">
        <v>474</v>
      </c>
      <c r="F356" s="417">
        <v>46107.0</v>
      </c>
      <c r="G356" s="242">
        <v>94.5299</v>
      </c>
      <c r="H356" s="242">
        <v>11.79</v>
      </c>
      <c r="I356" s="242">
        <v>-5.18</v>
      </c>
      <c r="J356" s="242">
        <v>-2.8</v>
      </c>
      <c r="K356" s="242">
        <v>-0.81</v>
      </c>
      <c r="L356" s="242">
        <v>-4.32</v>
      </c>
      <c r="M356" s="242">
        <v>-9.59</v>
      </c>
      <c r="N356" s="242">
        <v>-8.99</v>
      </c>
      <c r="O356" s="242">
        <v>12.57</v>
      </c>
      <c r="P356" s="242">
        <v>12.8</v>
      </c>
      <c r="Q356" s="242">
        <v>76.46</v>
      </c>
    </row>
    <row r="357">
      <c r="A357" s="242" t="s">
        <v>471</v>
      </c>
      <c r="B357" s="242" t="s">
        <v>681</v>
      </c>
      <c r="C357" s="242" t="s">
        <v>683</v>
      </c>
      <c r="E357" s="242" t="s">
        <v>474</v>
      </c>
      <c r="F357" s="417">
        <v>46107.0</v>
      </c>
      <c r="G357" s="242">
        <v>123.7693</v>
      </c>
      <c r="H357" s="242">
        <v>6.88</v>
      </c>
      <c r="I357" s="242">
        <v>0.66</v>
      </c>
      <c r="J357" s="242">
        <v>0.02</v>
      </c>
      <c r="K357" s="242">
        <v>0.38</v>
      </c>
      <c r="L357" s="242">
        <v>0.74</v>
      </c>
      <c r="M357" s="242">
        <v>2.23</v>
      </c>
      <c r="N357" s="242">
        <v>4.63</v>
      </c>
      <c r="O357" s="242">
        <v>6.89</v>
      </c>
      <c r="P357" s="242">
        <v>9.7</v>
      </c>
      <c r="Q357" s="242">
        <v>27.64</v>
      </c>
    </row>
    <row r="358">
      <c r="A358" s="242" t="s">
        <v>471</v>
      </c>
      <c r="B358" s="242" t="s">
        <v>681</v>
      </c>
      <c r="C358" s="242" t="s">
        <v>684</v>
      </c>
      <c r="E358" s="242" t="s">
        <v>474</v>
      </c>
      <c r="F358" s="417">
        <v>46107.0</v>
      </c>
      <c r="G358" s="242">
        <v>92.5046</v>
      </c>
      <c r="H358" s="242">
        <v>1.74</v>
      </c>
      <c r="I358" s="242">
        <v>-6.7</v>
      </c>
      <c r="J358" s="242">
        <v>-3.41</v>
      </c>
      <c r="K358" s="242">
        <v>-0.48</v>
      </c>
      <c r="L358" s="242">
        <v>-5.78</v>
      </c>
      <c r="M358" s="242">
        <v>-10.14</v>
      </c>
      <c r="N358" s="242">
        <v>-7.86</v>
      </c>
      <c r="O358" s="242">
        <v>1.88</v>
      </c>
      <c r="P358" s="242">
        <v>2.6</v>
      </c>
      <c r="Q358" s="242">
        <v>70.15</v>
      </c>
    </row>
    <row r="359">
      <c r="A359" s="242" t="s">
        <v>471</v>
      </c>
      <c r="B359" s="242" t="s">
        <v>681</v>
      </c>
      <c r="C359" s="242" t="s">
        <v>685</v>
      </c>
      <c r="E359" s="242" t="s">
        <v>474</v>
      </c>
      <c r="F359" s="417">
        <v>46107.0</v>
      </c>
      <c r="G359" s="242">
        <v>108.5734</v>
      </c>
      <c r="H359" s="242">
        <v>7.18</v>
      </c>
      <c r="I359" s="242">
        <v>-0.9</v>
      </c>
      <c r="J359" s="242">
        <v>-0.64</v>
      </c>
      <c r="K359" s="242">
        <v>0.1</v>
      </c>
      <c r="L359" s="242">
        <v>-0.58</v>
      </c>
      <c r="M359" s="242">
        <v>-0.15</v>
      </c>
      <c r="N359" s="242">
        <v>1.27</v>
      </c>
      <c r="O359" s="242">
        <v>7.19</v>
      </c>
      <c r="P359" s="242">
        <v>9.74</v>
      </c>
      <c r="Q359" s="242">
        <v>37.74</v>
      </c>
    </row>
    <row r="360">
      <c r="A360" s="242" t="s">
        <v>471</v>
      </c>
      <c r="B360" s="242" t="s">
        <v>681</v>
      </c>
      <c r="C360" s="242" t="s">
        <v>686</v>
      </c>
      <c r="E360" s="242" t="s">
        <v>474</v>
      </c>
      <c r="F360" s="417">
        <v>46107.0</v>
      </c>
      <c r="G360" s="242">
        <v>115.2231</v>
      </c>
      <c r="H360" s="242">
        <v>10.36</v>
      </c>
      <c r="I360" s="242">
        <v>-1.6</v>
      </c>
      <c r="J360" s="242">
        <v>-1.23</v>
      </c>
      <c r="K360" s="242">
        <v>0.09</v>
      </c>
      <c r="L360" s="242">
        <v>-1.33</v>
      </c>
      <c r="M360" s="242">
        <v>-1.18</v>
      </c>
      <c r="N360" s="242">
        <v>0.57</v>
      </c>
      <c r="O360" s="242">
        <v>10.39</v>
      </c>
      <c r="P360" s="242">
        <v>12.54</v>
      </c>
      <c r="Q360" s="242">
        <v>56.33</v>
      </c>
    </row>
    <row r="361">
      <c r="A361" s="242" t="s">
        <v>471</v>
      </c>
      <c r="B361" s="242" t="s">
        <v>681</v>
      </c>
      <c r="C361" s="242" t="s">
        <v>687</v>
      </c>
      <c r="E361" s="242" t="s">
        <v>474</v>
      </c>
      <c r="F361" s="417">
        <v>46107.0</v>
      </c>
      <c r="G361" s="242">
        <v>131.0554</v>
      </c>
      <c r="H361" s="242">
        <v>4.83</v>
      </c>
      <c r="I361" s="242">
        <v>0.22</v>
      </c>
      <c r="J361" s="242">
        <v>0.02</v>
      </c>
      <c r="K361" s="242">
        <v>0.12</v>
      </c>
      <c r="L361" s="242">
        <v>0.3</v>
      </c>
      <c r="M361" s="242">
        <v>1.73</v>
      </c>
      <c r="N361" s="242">
        <v>3.74</v>
      </c>
      <c r="O361" s="242">
        <v>4.86</v>
      </c>
      <c r="P361" s="242">
        <v>7.1</v>
      </c>
      <c r="Q361" s="242">
        <v>16.7</v>
      </c>
    </row>
    <row r="362">
      <c r="A362" s="242" t="s">
        <v>471</v>
      </c>
      <c r="B362" s="242" t="s">
        <v>681</v>
      </c>
      <c r="C362" s="242" t="s">
        <v>688</v>
      </c>
      <c r="E362" s="242" t="s">
        <v>474</v>
      </c>
      <c r="F362" s="417">
        <v>46108.0</v>
      </c>
      <c r="G362" s="418">
        <v>164.8562</v>
      </c>
      <c r="H362" s="242">
        <v>7.56</v>
      </c>
      <c r="I362" s="242">
        <v>-2.43</v>
      </c>
      <c r="J362" s="242">
        <v>-0.23</v>
      </c>
      <c r="K362" s="242">
        <v>-0.54</v>
      </c>
      <c r="L362" s="242">
        <v>-1.9</v>
      </c>
      <c r="M362" s="242">
        <v>-1.63</v>
      </c>
      <c r="N362" s="242">
        <v>0.52</v>
      </c>
      <c r="O362" s="242">
        <v>7.56</v>
      </c>
      <c r="P362" s="242">
        <v>12.26</v>
      </c>
      <c r="Q362" s="242">
        <v>44.18</v>
      </c>
    </row>
    <row r="363">
      <c r="A363" s="242" t="s">
        <v>471</v>
      </c>
      <c r="B363" s="242" t="s">
        <v>681</v>
      </c>
      <c r="C363" s="242" t="s">
        <v>689</v>
      </c>
      <c r="E363" s="242" t="s">
        <v>474</v>
      </c>
      <c r="F363" s="417">
        <v>46108.0</v>
      </c>
      <c r="G363" s="418">
        <v>1326.9355</v>
      </c>
      <c r="H363" s="242">
        <v>13.98</v>
      </c>
      <c r="I363" s="242">
        <v>-5.74</v>
      </c>
      <c r="J363" s="242">
        <v>-0.67</v>
      </c>
      <c r="K363" s="242">
        <v>-0.57</v>
      </c>
      <c r="L363" s="242">
        <v>-3.82</v>
      </c>
      <c r="M363" s="242">
        <v>-8.93</v>
      </c>
      <c r="N363" s="242">
        <v>-7.53</v>
      </c>
      <c r="O363" s="242">
        <v>13.98</v>
      </c>
      <c r="P363" s="242">
        <v>16.92</v>
      </c>
      <c r="Q363" s="242">
        <v>86.53</v>
      </c>
    </row>
    <row r="364">
      <c r="A364" s="242" t="s">
        <v>471</v>
      </c>
      <c r="B364" s="242" t="s">
        <v>681</v>
      </c>
      <c r="C364" s="242" t="s">
        <v>690</v>
      </c>
      <c r="E364" s="242" t="s">
        <v>474</v>
      </c>
      <c r="F364" s="417">
        <v>46108.0</v>
      </c>
      <c r="G364" s="418">
        <v>901.0434</v>
      </c>
      <c r="H364" s="242">
        <v>11.27</v>
      </c>
      <c r="I364" s="242">
        <v>-2.24</v>
      </c>
      <c r="J364" s="242">
        <v>-0.28</v>
      </c>
      <c r="K364" s="242">
        <v>-0.06</v>
      </c>
      <c r="L364" s="242">
        <v>-1.32</v>
      </c>
      <c r="M364" s="242">
        <v>-2.78</v>
      </c>
      <c r="N364" s="242">
        <v>-1.37</v>
      </c>
      <c r="O364" s="242">
        <v>11.27</v>
      </c>
      <c r="P364" s="242">
        <v>14.1</v>
      </c>
      <c r="Q364" s="242">
        <v>53.91</v>
      </c>
    </row>
    <row r="365">
      <c r="A365" s="242" t="s">
        <v>471</v>
      </c>
      <c r="B365" s="242" t="s">
        <v>681</v>
      </c>
      <c r="C365" s="242" t="s">
        <v>691</v>
      </c>
      <c r="E365" s="242" t="s">
        <v>474</v>
      </c>
      <c r="F365" s="417">
        <v>46108.0</v>
      </c>
      <c r="G365" s="418">
        <v>1147.1923</v>
      </c>
      <c r="H365" s="242">
        <v>12.92</v>
      </c>
      <c r="I365" s="242">
        <v>-4.34</v>
      </c>
      <c r="J365" s="242">
        <v>-0.51</v>
      </c>
      <c r="K365" s="242">
        <v>-0.38</v>
      </c>
      <c r="L365" s="242">
        <v>-2.82</v>
      </c>
      <c r="M365" s="242">
        <v>-6.5</v>
      </c>
      <c r="N365" s="242">
        <v>-5.62</v>
      </c>
      <c r="O365" s="242">
        <v>12.92</v>
      </c>
      <c r="P365" s="242">
        <v>15.94</v>
      </c>
      <c r="Q365" s="242">
        <v>73.36</v>
      </c>
    </row>
    <row r="366">
      <c r="A366" s="242" t="s">
        <v>471</v>
      </c>
      <c r="B366" s="242" t="s">
        <v>681</v>
      </c>
      <c r="C366" s="242" t="s">
        <v>692</v>
      </c>
      <c r="E366" s="242" t="s">
        <v>474</v>
      </c>
      <c r="F366" s="417">
        <v>46107.0</v>
      </c>
      <c r="G366" s="242">
        <v>113.2195</v>
      </c>
      <c r="H366" s="242">
        <v>13.22</v>
      </c>
      <c r="I366" s="242">
        <v>-0.52</v>
      </c>
      <c r="J366" s="242">
        <v>-0.73</v>
      </c>
      <c r="K366" s="242">
        <v>0.14</v>
      </c>
      <c r="L366" s="242">
        <v>-0.3</v>
      </c>
      <c r="M366" s="242">
        <v>1.39</v>
      </c>
      <c r="N366" s="242">
        <v>4.46</v>
      </c>
      <c r="O366" s="242" t="s">
        <v>474</v>
      </c>
      <c r="P366" s="242" t="s">
        <v>474</v>
      </c>
      <c r="Q366" s="242" t="s">
        <v>474</v>
      </c>
    </row>
    <row r="367">
      <c r="A367" s="242" t="s">
        <v>471</v>
      </c>
      <c r="B367" s="242" t="s">
        <v>681</v>
      </c>
      <c r="C367" s="242" t="s">
        <v>693</v>
      </c>
      <c r="E367" s="242" t="s">
        <v>474</v>
      </c>
      <c r="F367" s="417">
        <v>46107.0</v>
      </c>
      <c r="G367" s="242">
        <v>105.8955</v>
      </c>
      <c r="H367" s="242">
        <v>5.9</v>
      </c>
      <c r="I367" s="242">
        <v>0.43</v>
      </c>
      <c r="J367" s="242">
        <v>-0.05</v>
      </c>
      <c r="K367" s="242">
        <v>0.33</v>
      </c>
      <c r="L367" s="242">
        <v>0.53</v>
      </c>
      <c r="M367" s="242">
        <v>2.33</v>
      </c>
      <c r="N367" s="242">
        <v>4.64</v>
      </c>
      <c r="O367" s="242" t="s">
        <v>474</v>
      </c>
      <c r="P367" s="242" t="s">
        <v>474</v>
      </c>
      <c r="Q367" s="242" t="s">
        <v>474</v>
      </c>
    </row>
    <row r="368">
      <c r="A368" s="242" t="s">
        <v>471</v>
      </c>
      <c r="B368" s="242" t="s">
        <v>681</v>
      </c>
      <c r="C368" s="242" t="s">
        <v>694</v>
      </c>
      <c r="E368" s="242" t="s">
        <v>474</v>
      </c>
      <c r="F368" s="417">
        <v>46107.0</v>
      </c>
      <c r="G368" s="242">
        <v>107.4958</v>
      </c>
      <c r="H368" s="242">
        <v>7.39</v>
      </c>
      <c r="I368" s="242">
        <v>0.62</v>
      </c>
      <c r="J368" s="242">
        <v>0.02</v>
      </c>
      <c r="K368" s="242">
        <v>0.36</v>
      </c>
      <c r="L368" s="242">
        <v>0.71</v>
      </c>
      <c r="M368" s="242">
        <v>2.17</v>
      </c>
      <c r="N368" s="242">
        <v>4.73</v>
      </c>
      <c r="O368" s="242">
        <v>7.43</v>
      </c>
      <c r="P368" s="242" t="s">
        <v>474</v>
      </c>
      <c r="Q368" s="242" t="s">
        <v>474</v>
      </c>
    </row>
    <row r="369">
      <c r="A369" s="242" t="s">
        <v>471</v>
      </c>
      <c r="B369" s="242" t="s">
        <v>681</v>
      </c>
      <c r="C369" s="242" t="s">
        <v>695</v>
      </c>
      <c r="E369" s="242" t="s">
        <v>474</v>
      </c>
      <c r="F369" s="417">
        <v>46107.0</v>
      </c>
      <c r="G369" s="242">
        <v>106.4916</v>
      </c>
      <c r="H369" s="242">
        <v>6.4</v>
      </c>
      <c r="I369" s="242">
        <v>0.52</v>
      </c>
      <c r="J369" s="242">
        <v>0.02</v>
      </c>
      <c r="K369" s="242">
        <v>0.3</v>
      </c>
      <c r="L369" s="242">
        <v>0.59</v>
      </c>
      <c r="M369" s="242">
        <v>1.89</v>
      </c>
      <c r="N369" s="242">
        <v>4.11</v>
      </c>
      <c r="O369" s="242">
        <v>6.44</v>
      </c>
      <c r="P369" s="242">
        <v>8.81</v>
      </c>
      <c r="Q369" s="242" t="s">
        <v>474</v>
      </c>
    </row>
    <row r="370">
      <c r="A370" s="242" t="s">
        <v>471</v>
      </c>
      <c r="B370" s="242" t="s">
        <v>681</v>
      </c>
      <c r="C370" s="242" t="s">
        <v>696</v>
      </c>
      <c r="E370" s="242" t="s">
        <v>474</v>
      </c>
      <c r="F370" s="417">
        <v>46107.0</v>
      </c>
      <c r="G370" s="242">
        <v>106.5212</v>
      </c>
      <c r="H370" s="242">
        <v>6.43</v>
      </c>
      <c r="I370" s="242">
        <v>0.53</v>
      </c>
      <c r="J370" s="242">
        <v>0.02</v>
      </c>
      <c r="K370" s="242">
        <v>0.31</v>
      </c>
      <c r="L370" s="242">
        <v>0.61</v>
      </c>
      <c r="M370" s="242">
        <v>1.93</v>
      </c>
      <c r="N370" s="242">
        <v>4.17</v>
      </c>
      <c r="O370" s="242">
        <v>6.47</v>
      </c>
      <c r="P370" s="242">
        <v>8.72</v>
      </c>
      <c r="Q370" s="242" t="s">
        <v>474</v>
      </c>
    </row>
    <row r="371">
      <c r="A371" s="242" t="s">
        <v>471</v>
      </c>
      <c r="B371" s="242" t="s">
        <v>681</v>
      </c>
      <c r="C371" s="242" t="s">
        <v>697</v>
      </c>
      <c r="E371" s="242" t="s">
        <v>474</v>
      </c>
      <c r="F371" s="417">
        <v>46107.0</v>
      </c>
      <c r="G371" s="242">
        <v>167.4971</v>
      </c>
      <c r="H371" s="242">
        <v>11.79</v>
      </c>
      <c r="I371" s="242">
        <v>-4.12</v>
      </c>
      <c r="J371" s="242">
        <v>-2.16</v>
      </c>
      <c r="K371" s="242">
        <v>-0.77</v>
      </c>
      <c r="L371" s="242">
        <v>-3.48</v>
      </c>
      <c r="M371" s="242">
        <v>-9.26</v>
      </c>
      <c r="N371" s="242">
        <v>-7.07</v>
      </c>
      <c r="O371" s="242">
        <v>13.58</v>
      </c>
      <c r="P371" s="242">
        <v>15.58</v>
      </c>
      <c r="Q371" s="242">
        <v>83.2</v>
      </c>
    </row>
    <row r="372">
      <c r="A372" s="242" t="s">
        <v>471</v>
      </c>
      <c r="B372" s="242" t="s">
        <v>681</v>
      </c>
      <c r="C372" s="242" t="s">
        <v>698</v>
      </c>
      <c r="E372" s="242" t="s">
        <v>474</v>
      </c>
      <c r="F372" s="417">
        <v>46107.0</v>
      </c>
      <c r="G372" s="242">
        <v>118.8725</v>
      </c>
      <c r="H372" s="242">
        <v>8.0</v>
      </c>
      <c r="I372" s="242">
        <v>-0.97</v>
      </c>
      <c r="J372" s="242">
        <v>-0.73</v>
      </c>
      <c r="K372" s="242">
        <v>0.01</v>
      </c>
      <c r="L372" s="242">
        <v>-0.72</v>
      </c>
      <c r="M372" s="242">
        <v>-1.98</v>
      </c>
      <c r="N372" s="242">
        <v>0.12</v>
      </c>
      <c r="O372" s="242">
        <v>8.63</v>
      </c>
      <c r="P372" s="242">
        <v>10.98</v>
      </c>
      <c r="Q372" s="242">
        <v>42.25</v>
      </c>
    </row>
    <row r="373">
      <c r="A373" s="242" t="s">
        <v>471</v>
      </c>
      <c r="B373" s="242" t="s">
        <v>681</v>
      </c>
      <c r="C373" s="242" t="s">
        <v>699</v>
      </c>
      <c r="E373" s="242" t="s">
        <v>474</v>
      </c>
      <c r="F373" s="417">
        <v>46107.0</v>
      </c>
      <c r="G373" s="242">
        <v>128.5192</v>
      </c>
      <c r="H373" s="242">
        <v>6.69</v>
      </c>
      <c r="I373" s="242">
        <v>-5.55</v>
      </c>
      <c r="J373" s="242">
        <v>-2.8</v>
      </c>
      <c r="K373" s="242">
        <v>-1.13</v>
      </c>
      <c r="L373" s="242">
        <v>-4.77</v>
      </c>
      <c r="M373" s="242">
        <v>-12.05</v>
      </c>
      <c r="N373" s="242">
        <v>-10.63</v>
      </c>
      <c r="O373" s="242">
        <v>8.2</v>
      </c>
      <c r="P373" s="242">
        <v>11.88</v>
      </c>
      <c r="Q373" s="242">
        <v>70.88</v>
      </c>
    </row>
    <row r="374">
      <c r="A374" s="242" t="s">
        <v>471</v>
      </c>
      <c r="B374" s="242" t="s">
        <v>681</v>
      </c>
      <c r="C374" s="242" t="s">
        <v>700</v>
      </c>
      <c r="E374" s="242" t="s">
        <v>474</v>
      </c>
      <c r="F374" s="417">
        <v>46107.0</v>
      </c>
      <c r="G374" s="242">
        <v>137.1598</v>
      </c>
      <c r="H374" s="242">
        <v>9.69</v>
      </c>
      <c r="I374" s="242">
        <v>-3.07</v>
      </c>
      <c r="J374" s="242">
        <v>-1.5</v>
      </c>
      <c r="K374" s="242">
        <v>-0.44</v>
      </c>
      <c r="L374" s="242">
        <v>-2.59</v>
      </c>
      <c r="M374" s="242">
        <v>-5.99</v>
      </c>
      <c r="N374" s="242">
        <v>-3.96</v>
      </c>
      <c r="O374" s="242">
        <v>10.89</v>
      </c>
      <c r="P374" s="242">
        <v>13.15</v>
      </c>
      <c r="Q374" s="242">
        <v>63.03</v>
      </c>
    </row>
    <row r="375">
      <c r="A375" s="242" t="s">
        <v>471</v>
      </c>
      <c r="B375" s="242" t="s">
        <v>681</v>
      </c>
      <c r="C375" s="242" t="s">
        <v>701</v>
      </c>
      <c r="E375" s="242" t="s">
        <v>474</v>
      </c>
      <c r="F375" s="417">
        <v>46107.0</v>
      </c>
      <c r="G375" s="242">
        <v>54.1894</v>
      </c>
      <c r="H375" s="242">
        <v>6.54</v>
      </c>
      <c r="I375" s="242">
        <v>0.64</v>
      </c>
      <c r="J375" s="242">
        <v>0.01</v>
      </c>
      <c r="K375" s="242">
        <v>0.34</v>
      </c>
      <c r="L375" s="242">
        <v>0.7</v>
      </c>
      <c r="M375" s="242">
        <v>2.06</v>
      </c>
      <c r="N375" s="242">
        <v>4.31</v>
      </c>
      <c r="O375" s="242">
        <v>6.58</v>
      </c>
      <c r="P375" s="242">
        <v>8.88</v>
      </c>
      <c r="Q375" s="242">
        <v>22.29</v>
      </c>
    </row>
    <row r="376">
      <c r="A376" s="242" t="s">
        <v>471</v>
      </c>
      <c r="B376" s="242" t="s">
        <v>681</v>
      </c>
      <c r="C376" s="242" t="s">
        <v>702</v>
      </c>
      <c r="E376" s="242" t="s">
        <v>474</v>
      </c>
      <c r="F376" s="417">
        <v>46106.0</v>
      </c>
      <c r="G376" s="242">
        <v>87.9434</v>
      </c>
      <c r="H376" s="242">
        <v>9.26</v>
      </c>
      <c r="I376" s="242">
        <v>-2.72</v>
      </c>
      <c r="J376" s="242">
        <v>2.58</v>
      </c>
      <c r="K376" s="242">
        <v>0.89</v>
      </c>
      <c r="L376" s="242">
        <v>-2.51</v>
      </c>
      <c r="M376" s="242">
        <v>-8.31</v>
      </c>
      <c r="N376" s="242">
        <v>-7.6</v>
      </c>
      <c r="O376" s="242">
        <v>10.8</v>
      </c>
      <c r="P376" s="242">
        <v>15.34</v>
      </c>
      <c r="Q376" s="242">
        <v>79.48</v>
      </c>
    </row>
    <row r="377">
      <c r="A377" s="242" t="s">
        <v>471</v>
      </c>
      <c r="B377" s="242" t="s">
        <v>681</v>
      </c>
      <c r="C377" s="242" t="s">
        <v>703</v>
      </c>
      <c r="E377" s="242" t="s">
        <v>474</v>
      </c>
      <c r="F377" s="417">
        <v>46106.0</v>
      </c>
      <c r="G377" s="242">
        <v>74.8854</v>
      </c>
      <c r="H377" s="242">
        <v>9.64</v>
      </c>
      <c r="I377" s="242">
        <v>-2.98</v>
      </c>
      <c r="J377" s="242">
        <v>2.75</v>
      </c>
      <c r="K377" s="242">
        <v>0.88</v>
      </c>
      <c r="L377" s="242">
        <v>-2.79</v>
      </c>
      <c r="M377" s="242">
        <v>-8.86</v>
      </c>
      <c r="N377" s="242">
        <v>-8.44</v>
      </c>
      <c r="O377" s="242">
        <v>11.24</v>
      </c>
      <c r="P377" s="242">
        <v>15.56</v>
      </c>
      <c r="Q377" s="242">
        <v>80.22</v>
      </c>
    </row>
    <row r="378">
      <c r="A378" s="242" t="s">
        <v>471</v>
      </c>
      <c r="B378" s="242" t="s">
        <v>681</v>
      </c>
      <c r="C378" s="242" t="s">
        <v>704</v>
      </c>
      <c r="E378" s="242" t="s">
        <v>474</v>
      </c>
      <c r="F378" s="417">
        <v>46106.0</v>
      </c>
      <c r="G378" s="242">
        <v>83.2731</v>
      </c>
      <c r="H378" s="242">
        <v>9.52</v>
      </c>
      <c r="I378" s="242">
        <v>-2.83</v>
      </c>
      <c r="J378" s="242">
        <v>2.62</v>
      </c>
      <c r="K378" s="242">
        <v>0.87</v>
      </c>
      <c r="L378" s="242">
        <v>-2.62</v>
      </c>
      <c r="M378" s="242">
        <v>-8.63</v>
      </c>
      <c r="N378" s="242">
        <v>-7.93</v>
      </c>
      <c r="O378" s="242">
        <v>11.05</v>
      </c>
      <c r="P378" s="242">
        <v>15.62</v>
      </c>
      <c r="Q378" s="242">
        <v>76.21</v>
      </c>
    </row>
    <row r="379">
      <c r="A379" s="242" t="s">
        <v>471</v>
      </c>
      <c r="B379" s="242" t="s">
        <v>681</v>
      </c>
      <c r="C379" s="242" t="s">
        <v>705</v>
      </c>
      <c r="E379" s="242" t="s">
        <v>474</v>
      </c>
      <c r="F379" s="417">
        <v>46106.0</v>
      </c>
      <c r="G379" s="242">
        <v>87.381</v>
      </c>
      <c r="H379" s="242">
        <v>9.32</v>
      </c>
      <c r="I379" s="242">
        <v>-2.83</v>
      </c>
      <c r="J379" s="242">
        <v>2.61</v>
      </c>
      <c r="K379" s="242">
        <v>0.86</v>
      </c>
      <c r="L379" s="242">
        <v>-2.62</v>
      </c>
      <c r="M379" s="242">
        <v>-8.61</v>
      </c>
      <c r="N379" s="242">
        <v>-8.0</v>
      </c>
      <c r="O379" s="242">
        <v>10.83</v>
      </c>
      <c r="P379" s="242">
        <v>15.46</v>
      </c>
      <c r="Q379" s="242">
        <v>73.95</v>
      </c>
    </row>
    <row r="380">
      <c r="A380" s="242" t="s">
        <v>471</v>
      </c>
      <c r="B380" s="242" t="s">
        <v>681</v>
      </c>
      <c r="C380" s="242" t="s">
        <v>706</v>
      </c>
      <c r="E380" s="242" t="s">
        <v>474</v>
      </c>
      <c r="F380" s="417">
        <v>46106.0</v>
      </c>
      <c r="G380" s="242">
        <v>98.4286</v>
      </c>
      <c r="H380" s="242">
        <v>9.45</v>
      </c>
      <c r="I380" s="242">
        <v>-2.85</v>
      </c>
      <c r="J380" s="242">
        <v>2.6</v>
      </c>
      <c r="K380" s="242">
        <v>0.84</v>
      </c>
      <c r="L380" s="242">
        <v>-2.65</v>
      </c>
      <c r="M380" s="242">
        <v>-8.64</v>
      </c>
      <c r="N380" s="242">
        <v>-8.24</v>
      </c>
      <c r="O380" s="242">
        <v>11.01</v>
      </c>
      <c r="P380" s="242">
        <v>15.74</v>
      </c>
      <c r="Q380" s="242">
        <v>72.03</v>
      </c>
    </row>
    <row r="381">
      <c r="A381" s="242" t="s">
        <v>471</v>
      </c>
      <c r="B381" s="242" t="s">
        <v>707</v>
      </c>
      <c r="C381" s="242" t="s">
        <v>708</v>
      </c>
      <c r="E381" s="242" t="s">
        <v>474</v>
      </c>
      <c r="F381" s="417">
        <v>46108.0</v>
      </c>
      <c r="G381" s="242">
        <v>165.3285</v>
      </c>
      <c r="H381" s="242">
        <v>18.41</v>
      </c>
      <c r="I381" s="242">
        <v>-6.56</v>
      </c>
      <c r="J381" s="242">
        <v>-0.85</v>
      </c>
      <c r="K381" s="242">
        <v>-0.88</v>
      </c>
      <c r="L381" s="242">
        <v>-4.0</v>
      </c>
      <c r="M381" s="242">
        <v>-10.61</v>
      </c>
      <c r="N381" s="242">
        <v>-9.48</v>
      </c>
      <c r="O381" s="242">
        <v>18.41</v>
      </c>
      <c r="P381" s="242">
        <v>18.89</v>
      </c>
      <c r="Q381" s="242">
        <v>91.43</v>
      </c>
    </row>
    <row r="382">
      <c r="A382" s="242" t="s">
        <v>471</v>
      </c>
      <c r="B382" s="242" t="s">
        <v>709</v>
      </c>
      <c r="C382" s="242" t="s">
        <v>347</v>
      </c>
      <c r="E382" s="242" t="s">
        <v>474</v>
      </c>
      <c r="F382" s="417">
        <v>46107.0</v>
      </c>
      <c r="G382" s="242">
        <v>313.06</v>
      </c>
      <c r="H382" s="242">
        <v>35.78</v>
      </c>
      <c r="I382" s="242">
        <v>-5.85</v>
      </c>
      <c r="J382" s="242">
        <v>-2.13</v>
      </c>
      <c r="K382" s="242">
        <v>-2.14</v>
      </c>
      <c r="L382" s="242">
        <v>-5.15</v>
      </c>
      <c r="M382" s="242">
        <v>6.47</v>
      </c>
      <c r="N382" s="242">
        <v>22.83</v>
      </c>
      <c r="O382" s="242">
        <v>36.73</v>
      </c>
      <c r="P382" s="242">
        <v>47.06</v>
      </c>
      <c r="Q382" s="242">
        <v>100.32</v>
      </c>
    </row>
    <row r="383">
      <c r="A383" s="242" t="s">
        <v>710</v>
      </c>
      <c r="B383" s="242" t="s">
        <v>711</v>
      </c>
      <c r="C383" s="242" t="s">
        <v>712</v>
      </c>
      <c r="E383" s="242" t="s">
        <v>474</v>
      </c>
      <c r="F383" s="417">
        <v>46108.0</v>
      </c>
      <c r="G383" s="242">
        <v>182.8416</v>
      </c>
      <c r="H383" s="242">
        <v>15.86</v>
      </c>
      <c r="I383" s="242">
        <v>-12.73</v>
      </c>
      <c r="J383" s="242">
        <v>-1.08</v>
      </c>
      <c r="K383" s="242">
        <v>-3.04</v>
      </c>
      <c r="L383" s="242">
        <v>-10.6</v>
      </c>
      <c r="M383" s="242">
        <v>-14.52</v>
      </c>
      <c r="N383" s="242">
        <v>-7.8</v>
      </c>
      <c r="O383" s="242">
        <v>15.86</v>
      </c>
      <c r="P383" s="242">
        <v>26.28</v>
      </c>
      <c r="Q383" s="242">
        <v>355.4</v>
      </c>
    </row>
    <row r="384">
      <c r="A384" s="242" t="s">
        <v>710</v>
      </c>
      <c r="B384" s="242" t="s">
        <v>713</v>
      </c>
      <c r="C384" s="242" t="s">
        <v>714</v>
      </c>
      <c r="E384" s="242" t="s">
        <v>474</v>
      </c>
      <c r="F384" s="417">
        <v>46108.0</v>
      </c>
      <c r="G384" s="242">
        <v>16.3407</v>
      </c>
      <c r="H384" s="242">
        <v>13.22</v>
      </c>
      <c r="I384" s="242">
        <v>-6.79</v>
      </c>
      <c r="J384" s="242">
        <v>-0.94</v>
      </c>
      <c r="K384" s="242">
        <v>-0.84</v>
      </c>
      <c r="L384" s="242">
        <v>-4.34</v>
      </c>
      <c r="M384" s="242">
        <v>-11.63</v>
      </c>
      <c r="N384" s="242">
        <v>-11.32</v>
      </c>
      <c r="O384" s="242">
        <v>13.22</v>
      </c>
      <c r="P384" s="242">
        <v>14.36</v>
      </c>
      <c r="Q384" s="242">
        <v>94.82</v>
      </c>
    </row>
    <row r="385">
      <c r="A385" s="242" t="s">
        <v>710</v>
      </c>
      <c r="B385" s="242" t="s">
        <v>713</v>
      </c>
      <c r="C385" s="242" t="s">
        <v>715</v>
      </c>
      <c r="E385" s="242" t="s">
        <v>474</v>
      </c>
      <c r="F385" s="417">
        <v>46108.0</v>
      </c>
      <c r="G385" s="418">
        <v>105.1422</v>
      </c>
      <c r="H385" s="242">
        <v>10.12</v>
      </c>
      <c r="I385" s="242">
        <v>-8.13</v>
      </c>
      <c r="J385" s="242">
        <v>-0.86</v>
      </c>
      <c r="K385" s="242">
        <v>-0.58</v>
      </c>
      <c r="L385" s="242">
        <v>-5.62</v>
      </c>
      <c r="M385" s="242">
        <v>-12.23</v>
      </c>
      <c r="N385" s="242">
        <v>-10.25</v>
      </c>
      <c r="O385" s="242">
        <v>10.12</v>
      </c>
      <c r="P385" s="242">
        <v>11.91</v>
      </c>
      <c r="Q385" s="242">
        <v>91.2</v>
      </c>
    </row>
    <row r="386">
      <c r="A386" s="242" t="s">
        <v>710</v>
      </c>
      <c r="B386" s="242" t="s">
        <v>713</v>
      </c>
      <c r="C386" s="242" t="s">
        <v>716</v>
      </c>
      <c r="E386" s="242" t="s">
        <v>474</v>
      </c>
      <c r="F386" s="417">
        <v>46108.0</v>
      </c>
      <c r="G386" s="418">
        <v>1457.81</v>
      </c>
      <c r="H386" s="242">
        <v>12.23</v>
      </c>
      <c r="I386" s="242">
        <v>-8.22</v>
      </c>
      <c r="J386" s="242">
        <v>-0.96</v>
      </c>
      <c r="K386" s="242">
        <v>-0.98</v>
      </c>
      <c r="L386" s="242">
        <v>-5.62</v>
      </c>
      <c r="M386" s="242">
        <v>-12.9</v>
      </c>
      <c r="N386" s="242">
        <v>-12.32</v>
      </c>
      <c r="O386" s="242">
        <v>12.23</v>
      </c>
      <c r="P386" s="242">
        <v>15.22</v>
      </c>
      <c r="Q386" s="242">
        <v>101.28</v>
      </c>
    </row>
    <row r="387">
      <c r="A387" s="242" t="s">
        <v>710</v>
      </c>
      <c r="B387" s="242" t="s">
        <v>713</v>
      </c>
      <c r="C387" s="242" t="s">
        <v>717</v>
      </c>
      <c r="E387" s="242" t="s">
        <v>474</v>
      </c>
      <c r="F387" s="417">
        <v>46108.0</v>
      </c>
      <c r="G387" s="242">
        <v>107.0871</v>
      </c>
      <c r="H387" s="242">
        <v>7.09</v>
      </c>
      <c r="I387" s="242">
        <v>-7.94</v>
      </c>
      <c r="J387" s="242">
        <v>-1.02</v>
      </c>
      <c r="K387" s="242">
        <v>-1.04</v>
      </c>
      <c r="L387" s="242">
        <v>-5.62</v>
      </c>
      <c r="M387" s="242">
        <v>-11.7</v>
      </c>
      <c r="N387" s="242">
        <v>-10.11</v>
      </c>
      <c r="O387" s="242">
        <v>7.09</v>
      </c>
      <c r="P387" s="242">
        <v>7.09</v>
      </c>
      <c r="Q387" s="242">
        <v>-24.09</v>
      </c>
    </row>
    <row r="388">
      <c r="A388" s="242" t="s">
        <v>710</v>
      </c>
      <c r="B388" s="242" t="s">
        <v>713</v>
      </c>
      <c r="C388" s="242" t="s">
        <v>718</v>
      </c>
      <c r="E388" s="242" t="s">
        <v>474</v>
      </c>
      <c r="F388" s="417">
        <v>46108.0</v>
      </c>
      <c r="G388" s="242">
        <v>82.5436</v>
      </c>
      <c r="H388" s="242">
        <v>8.28</v>
      </c>
      <c r="I388" s="242">
        <v>-7.74</v>
      </c>
      <c r="J388" s="242">
        <v>-1.07</v>
      </c>
      <c r="K388" s="242">
        <v>-1.08</v>
      </c>
      <c r="L388" s="242">
        <v>-5.47</v>
      </c>
      <c r="M388" s="242">
        <v>-15.23</v>
      </c>
      <c r="N388" s="242">
        <v>-13.84</v>
      </c>
      <c r="O388" s="242">
        <v>8.28</v>
      </c>
      <c r="P388" s="242">
        <v>14.57</v>
      </c>
      <c r="Q388" s="242">
        <v>99.76</v>
      </c>
    </row>
    <row r="389">
      <c r="A389" s="242" t="s">
        <v>719</v>
      </c>
      <c r="B389" s="242" t="s">
        <v>720</v>
      </c>
      <c r="C389" s="242" t="s">
        <v>721</v>
      </c>
      <c r="E389" s="242" t="s">
        <v>474</v>
      </c>
      <c r="F389" s="417">
        <v>46108.0</v>
      </c>
      <c r="G389" s="242">
        <v>280.3724</v>
      </c>
      <c r="H389" s="242">
        <v>9.79</v>
      </c>
      <c r="I389" s="242">
        <v>8.4</v>
      </c>
      <c r="J389" s="242">
        <v>9.6</v>
      </c>
      <c r="K389" s="242">
        <v>8.98</v>
      </c>
      <c r="L389" s="242">
        <v>8.64</v>
      </c>
      <c r="M389" s="242">
        <v>9.21</v>
      </c>
      <c r="N389" s="242">
        <v>9.72</v>
      </c>
      <c r="O389" s="242">
        <v>9.79</v>
      </c>
      <c r="P389" s="242">
        <v>10.13</v>
      </c>
      <c r="Q389" s="242">
        <v>27.61</v>
      </c>
    </row>
    <row r="390">
      <c r="A390" s="242" t="s">
        <v>719</v>
      </c>
      <c r="B390" s="242" t="s">
        <v>720</v>
      </c>
      <c r="C390" s="242" t="s">
        <v>722</v>
      </c>
      <c r="E390" s="242" t="s">
        <v>474</v>
      </c>
      <c r="F390" s="417">
        <v>46107.0</v>
      </c>
      <c r="G390" s="242">
        <v>177.6894</v>
      </c>
      <c r="H390" s="242">
        <v>10.44</v>
      </c>
      <c r="I390" s="242">
        <v>7.93</v>
      </c>
      <c r="J390" s="242">
        <v>7.59</v>
      </c>
      <c r="K390" s="242">
        <v>7.89</v>
      </c>
      <c r="L390" s="242">
        <v>8.02</v>
      </c>
      <c r="M390" s="242">
        <v>9.37</v>
      </c>
      <c r="N390" s="242">
        <v>10.37</v>
      </c>
      <c r="O390" s="242">
        <v>10.46</v>
      </c>
      <c r="P390" s="242">
        <v>10.6</v>
      </c>
      <c r="Q390" s="242">
        <v>15.13</v>
      </c>
    </row>
    <row r="391">
      <c r="A391" s="242" t="s">
        <v>719</v>
      </c>
      <c r="B391" s="242" t="s">
        <v>720</v>
      </c>
      <c r="C391" s="242" t="s">
        <v>723</v>
      </c>
      <c r="E391" s="242" t="s">
        <v>474</v>
      </c>
      <c r="F391" s="417">
        <v>46108.0</v>
      </c>
      <c r="G391" s="242">
        <v>250.0343</v>
      </c>
      <c r="H391" s="242">
        <v>9.48</v>
      </c>
      <c r="I391" s="242">
        <v>8.56</v>
      </c>
      <c r="J391" s="242">
        <v>8.54</v>
      </c>
      <c r="K391" s="242">
        <v>8.88</v>
      </c>
      <c r="L391" s="242">
        <v>8.6</v>
      </c>
      <c r="M391" s="242">
        <v>8.58</v>
      </c>
      <c r="N391" s="242">
        <v>9.42</v>
      </c>
      <c r="O391" s="242">
        <v>9.48</v>
      </c>
      <c r="P391" s="242">
        <v>9.93</v>
      </c>
      <c r="Q391" s="242">
        <v>14.61</v>
      </c>
    </row>
    <row r="392">
      <c r="A392" s="242" t="s">
        <v>719</v>
      </c>
      <c r="B392" s="242" t="s">
        <v>720</v>
      </c>
      <c r="C392" s="242" t="s">
        <v>724</v>
      </c>
      <c r="E392" s="242" t="s">
        <v>474</v>
      </c>
      <c r="F392" s="417">
        <v>46108.0</v>
      </c>
      <c r="G392" s="242">
        <v>0.0</v>
      </c>
      <c r="H392" s="242">
        <v>-135.19</v>
      </c>
      <c r="I392" s="242">
        <v>-22.34</v>
      </c>
      <c r="J392" s="242">
        <v>-36500.0</v>
      </c>
      <c r="K392" s="242" t="s">
        <v>474</v>
      </c>
      <c r="L392" s="242">
        <v>-1216.67</v>
      </c>
      <c r="M392" s="242">
        <v>-405.56</v>
      </c>
      <c r="N392" s="242">
        <v>-202.78</v>
      </c>
      <c r="O392" s="242">
        <v>-135.19</v>
      </c>
      <c r="P392" s="242">
        <v>-100.0</v>
      </c>
      <c r="Q392" s="242">
        <v>-50.0</v>
      </c>
    </row>
    <row r="393">
      <c r="A393" s="242" t="s">
        <v>719</v>
      </c>
      <c r="B393" s="242" t="s">
        <v>720</v>
      </c>
      <c r="C393" s="242" t="s">
        <v>725</v>
      </c>
      <c r="E393" s="242" t="s">
        <v>474</v>
      </c>
      <c r="F393" s="417">
        <v>46108.0</v>
      </c>
      <c r="G393" s="242">
        <v>600.57</v>
      </c>
      <c r="H393" s="242">
        <v>10.44</v>
      </c>
      <c r="I393" s="242">
        <v>9.36</v>
      </c>
      <c r="J393" s="242">
        <v>8.5</v>
      </c>
      <c r="K393" s="242">
        <v>9.64</v>
      </c>
      <c r="L393" s="242">
        <v>9.41</v>
      </c>
      <c r="M393" s="242">
        <v>9.62</v>
      </c>
      <c r="N393" s="242">
        <v>10.23</v>
      </c>
      <c r="O393" s="242">
        <v>10.44</v>
      </c>
      <c r="P393" s="242">
        <v>10.95</v>
      </c>
      <c r="Q393" s="242">
        <v>15.78</v>
      </c>
    </row>
    <row r="394">
      <c r="A394" s="242" t="s">
        <v>719</v>
      </c>
      <c r="B394" s="242" t="s">
        <v>720</v>
      </c>
      <c r="C394" s="242" t="s">
        <v>726</v>
      </c>
      <c r="E394" s="242" t="s">
        <v>474</v>
      </c>
      <c r="F394" s="417">
        <v>46109.0</v>
      </c>
      <c r="G394" s="242">
        <v>363.2197</v>
      </c>
      <c r="H394" s="242">
        <v>9.21</v>
      </c>
      <c r="I394" s="242">
        <v>7.39</v>
      </c>
      <c r="J394" s="242" t="s">
        <v>474</v>
      </c>
      <c r="K394" s="242">
        <v>7.44</v>
      </c>
      <c r="L394" s="242">
        <v>7.48</v>
      </c>
      <c r="M394" s="242">
        <v>8.54</v>
      </c>
      <c r="N394" s="242">
        <v>9.0</v>
      </c>
      <c r="O394" s="242">
        <v>9.24</v>
      </c>
      <c r="P394" s="242">
        <v>9.73</v>
      </c>
      <c r="Q394" s="242">
        <v>14.49</v>
      </c>
    </row>
    <row r="395">
      <c r="A395" s="242" t="s">
        <v>719</v>
      </c>
      <c r="B395" s="242" t="s">
        <v>720</v>
      </c>
      <c r="C395" s="242" t="s">
        <v>727</v>
      </c>
      <c r="E395" s="242" t="s">
        <v>474</v>
      </c>
      <c r="F395" s="417">
        <v>46108.0</v>
      </c>
      <c r="G395" s="242">
        <v>487.0885</v>
      </c>
      <c r="H395" s="242">
        <v>9.95</v>
      </c>
      <c r="I395" s="242">
        <v>8.58</v>
      </c>
      <c r="J395" s="242">
        <v>7.67</v>
      </c>
      <c r="K395" s="242">
        <v>8.55</v>
      </c>
      <c r="L395" s="242">
        <v>8.59</v>
      </c>
      <c r="M395" s="242">
        <v>8.96</v>
      </c>
      <c r="N395" s="242">
        <v>10.03</v>
      </c>
      <c r="O395" s="242">
        <v>9.95</v>
      </c>
      <c r="P395" s="242">
        <v>10.48</v>
      </c>
      <c r="Q395" s="242">
        <v>15.0</v>
      </c>
    </row>
    <row r="396">
      <c r="A396" s="242" t="s">
        <v>719</v>
      </c>
      <c r="B396" s="242" t="s">
        <v>720</v>
      </c>
      <c r="C396" s="242" t="s">
        <v>728</v>
      </c>
      <c r="E396" s="242" t="s">
        <v>474</v>
      </c>
      <c r="F396" s="417">
        <v>46108.0</v>
      </c>
      <c r="G396" s="242">
        <v>334.189</v>
      </c>
      <c r="H396" s="242">
        <v>9.5</v>
      </c>
      <c r="I396" s="242">
        <v>8.2</v>
      </c>
      <c r="J396" s="242">
        <v>7.63</v>
      </c>
      <c r="K396" s="242">
        <v>8.37</v>
      </c>
      <c r="L396" s="242">
        <v>8.26</v>
      </c>
      <c r="M396" s="242">
        <v>8.69</v>
      </c>
      <c r="N396" s="242">
        <v>9.42</v>
      </c>
      <c r="O396" s="242">
        <v>9.5</v>
      </c>
      <c r="P396" s="242">
        <v>10.07</v>
      </c>
      <c r="Q396" s="242">
        <v>14.71</v>
      </c>
    </row>
    <row r="397">
      <c r="A397" s="242" t="s">
        <v>719</v>
      </c>
      <c r="B397" s="242" t="s">
        <v>720</v>
      </c>
      <c r="C397" s="242" t="s">
        <v>729</v>
      </c>
      <c r="E397" s="242" t="s">
        <v>474</v>
      </c>
      <c r="F397" s="417">
        <v>46108.0</v>
      </c>
      <c r="G397" s="242">
        <v>28.6379</v>
      </c>
      <c r="H397" s="242">
        <v>9.91</v>
      </c>
      <c r="I397" s="242">
        <v>8.96</v>
      </c>
      <c r="J397" s="242">
        <v>8.43</v>
      </c>
      <c r="K397" s="242">
        <v>9.09</v>
      </c>
      <c r="L397" s="242">
        <v>8.97</v>
      </c>
      <c r="M397" s="242">
        <v>9.3</v>
      </c>
      <c r="N397" s="242">
        <v>9.86</v>
      </c>
      <c r="O397" s="242">
        <v>9.91</v>
      </c>
      <c r="P397" s="242">
        <v>10.31</v>
      </c>
      <c r="Q397" s="242">
        <v>14.96</v>
      </c>
    </row>
    <row r="398">
      <c r="A398" s="242" t="s">
        <v>719</v>
      </c>
      <c r="B398" s="242" t="s">
        <v>720</v>
      </c>
      <c r="C398" s="242" t="s">
        <v>730</v>
      </c>
      <c r="E398" s="242" t="s">
        <v>474</v>
      </c>
      <c r="F398" s="417">
        <v>46108.0</v>
      </c>
      <c r="G398" s="242">
        <v>545.1</v>
      </c>
      <c r="H398" s="242">
        <v>9.37</v>
      </c>
      <c r="I398" s="242">
        <v>7.56</v>
      </c>
      <c r="J398" s="242">
        <v>3.36</v>
      </c>
      <c r="K398" s="242">
        <v>7.93</v>
      </c>
      <c r="L398" s="242">
        <v>7.77</v>
      </c>
      <c r="M398" s="242">
        <v>8.55</v>
      </c>
      <c r="N398" s="242">
        <v>9.15</v>
      </c>
      <c r="O398" s="242">
        <v>9.37</v>
      </c>
      <c r="P398" s="242">
        <v>9.86</v>
      </c>
      <c r="Q398" s="242">
        <v>14.76</v>
      </c>
    </row>
    <row r="399">
      <c r="A399" s="242" t="s">
        <v>719</v>
      </c>
      <c r="B399" s="242" t="s">
        <v>720</v>
      </c>
      <c r="C399" s="242" t="s">
        <v>731</v>
      </c>
      <c r="E399" s="242" t="s">
        <v>474</v>
      </c>
      <c r="F399" s="417">
        <v>46110.0</v>
      </c>
      <c r="G399" s="242">
        <v>421.4011</v>
      </c>
      <c r="H399" s="242">
        <v>9.61</v>
      </c>
      <c r="I399" s="242">
        <v>8.42</v>
      </c>
      <c r="J399" s="242">
        <v>10.0</v>
      </c>
      <c r="K399" s="242">
        <v>8.83</v>
      </c>
      <c r="L399" s="242">
        <v>8.47</v>
      </c>
      <c r="M399" s="242">
        <v>8.7</v>
      </c>
      <c r="N399" s="242">
        <v>9.42</v>
      </c>
      <c r="O399" s="242">
        <v>9.61</v>
      </c>
      <c r="P399" s="242">
        <v>9.87</v>
      </c>
      <c r="Q399" s="242">
        <v>14.31</v>
      </c>
    </row>
    <row r="400">
      <c r="A400" s="242" t="s">
        <v>719</v>
      </c>
      <c r="B400" s="242" t="s">
        <v>732</v>
      </c>
      <c r="C400" s="242" t="s">
        <v>721</v>
      </c>
      <c r="E400" s="242" t="s">
        <v>474</v>
      </c>
      <c r="F400" s="417">
        <v>46108.0</v>
      </c>
      <c r="G400" s="242">
        <v>367.2934</v>
      </c>
      <c r="H400" s="242">
        <v>10.06</v>
      </c>
      <c r="I400" s="242">
        <v>7.35</v>
      </c>
      <c r="J400" s="242">
        <v>1.93</v>
      </c>
      <c r="K400" s="242">
        <v>6.37</v>
      </c>
      <c r="L400" s="242">
        <v>7.93</v>
      </c>
      <c r="M400" s="242">
        <v>9.19</v>
      </c>
      <c r="N400" s="242">
        <v>9.75</v>
      </c>
      <c r="O400" s="242">
        <v>10.06</v>
      </c>
      <c r="P400" s="242">
        <v>11.06</v>
      </c>
      <c r="Q400" s="242">
        <v>51.22</v>
      </c>
    </row>
    <row r="401">
      <c r="A401" s="242" t="s">
        <v>719</v>
      </c>
      <c r="B401" s="242" t="s">
        <v>732</v>
      </c>
      <c r="C401" s="242" t="s">
        <v>722</v>
      </c>
      <c r="E401" s="242" t="s">
        <v>474</v>
      </c>
      <c r="F401" s="417">
        <v>46107.0</v>
      </c>
      <c r="G401" s="242">
        <v>182.0008</v>
      </c>
      <c r="H401" s="242">
        <v>10.2</v>
      </c>
      <c r="I401" s="242">
        <v>4.96</v>
      </c>
      <c r="J401" s="242">
        <v>2.56</v>
      </c>
      <c r="K401" s="242">
        <v>5.53</v>
      </c>
      <c r="L401" s="242">
        <v>5.46</v>
      </c>
      <c r="M401" s="242">
        <v>8.41</v>
      </c>
      <c r="N401" s="242">
        <v>10.14</v>
      </c>
      <c r="O401" s="242">
        <v>10.21</v>
      </c>
      <c r="P401" s="242">
        <v>10.75</v>
      </c>
      <c r="Q401" s="242">
        <v>16.19</v>
      </c>
    </row>
    <row r="402">
      <c r="A402" s="242" t="s">
        <v>719</v>
      </c>
      <c r="B402" s="242" t="s">
        <v>732</v>
      </c>
      <c r="C402" s="242" t="s">
        <v>723</v>
      </c>
      <c r="E402" s="242" t="s">
        <v>474</v>
      </c>
      <c r="F402" s="417">
        <v>46108.0</v>
      </c>
      <c r="G402" s="242">
        <v>243.5461</v>
      </c>
      <c r="H402" s="242">
        <v>7.25</v>
      </c>
      <c r="I402" s="242">
        <v>-15.31</v>
      </c>
      <c r="J402" s="242">
        <v>-154.69</v>
      </c>
      <c r="K402" s="242">
        <v>-14.74</v>
      </c>
      <c r="L402" s="242">
        <v>-12.88</v>
      </c>
      <c r="M402" s="242">
        <v>0.45</v>
      </c>
      <c r="N402" s="242">
        <v>6.74</v>
      </c>
      <c r="O402" s="242">
        <v>7.25</v>
      </c>
      <c r="P402" s="242">
        <v>10.65</v>
      </c>
      <c r="Q402" s="242">
        <v>15.42</v>
      </c>
    </row>
    <row r="403">
      <c r="A403" s="242" t="s">
        <v>719</v>
      </c>
      <c r="B403" s="242" t="s">
        <v>732</v>
      </c>
      <c r="C403" s="242" t="s">
        <v>724</v>
      </c>
      <c r="E403" s="242" t="s">
        <v>474</v>
      </c>
      <c r="F403" s="417">
        <v>46108.0</v>
      </c>
      <c r="G403" s="242">
        <v>107.013</v>
      </c>
      <c r="H403" s="242">
        <v>-46.87</v>
      </c>
      <c r="I403" s="242">
        <v>-140.6</v>
      </c>
      <c r="J403" s="242">
        <v>-134.06</v>
      </c>
      <c r="K403" s="242">
        <v>-146.01</v>
      </c>
      <c r="L403" s="242">
        <v>-139.12</v>
      </c>
      <c r="M403" s="242">
        <v>-146.19</v>
      </c>
      <c r="N403" s="242">
        <v>-70.05</v>
      </c>
      <c r="O403" s="242">
        <v>-46.87</v>
      </c>
      <c r="P403" s="242">
        <v>-32.92</v>
      </c>
      <c r="Q403" s="242">
        <v>-10.75</v>
      </c>
    </row>
    <row r="404">
      <c r="A404" s="242" t="s">
        <v>719</v>
      </c>
      <c r="B404" s="242" t="s">
        <v>732</v>
      </c>
      <c r="C404" s="242" t="s">
        <v>725</v>
      </c>
      <c r="E404" s="242" t="s">
        <v>474</v>
      </c>
      <c r="F404" s="417">
        <v>46108.0</v>
      </c>
      <c r="G404" s="242">
        <v>644.59</v>
      </c>
      <c r="H404" s="242">
        <v>9.61</v>
      </c>
      <c r="I404" s="242">
        <v>2.88</v>
      </c>
      <c r="J404" s="242">
        <v>-18.69</v>
      </c>
      <c r="K404" s="242">
        <v>5.07</v>
      </c>
      <c r="L404" s="242">
        <v>3.52</v>
      </c>
      <c r="M404" s="242">
        <v>7.11</v>
      </c>
      <c r="N404" s="242">
        <v>9.42</v>
      </c>
      <c r="O404" s="242">
        <v>9.61</v>
      </c>
      <c r="P404" s="242">
        <v>10.65</v>
      </c>
      <c r="Q404" s="242">
        <v>16.45</v>
      </c>
    </row>
    <row r="405">
      <c r="A405" s="242" t="s">
        <v>719</v>
      </c>
      <c r="B405" s="242" t="s">
        <v>732</v>
      </c>
      <c r="C405" s="242" t="s">
        <v>726</v>
      </c>
      <c r="E405" s="242" t="s">
        <v>474</v>
      </c>
      <c r="F405" s="417">
        <v>46108.0</v>
      </c>
      <c r="G405" s="242">
        <v>431.5736</v>
      </c>
      <c r="H405" s="242">
        <v>8.62</v>
      </c>
      <c r="I405" s="242">
        <v>-4.06</v>
      </c>
      <c r="J405" s="242">
        <v>-90.19</v>
      </c>
      <c r="K405" s="242">
        <v>-2.0</v>
      </c>
      <c r="L405" s="242">
        <v>-2.77</v>
      </c>
      <c r="M405" s="242">
        <v>5.03</v>
      </c>
      <c r="N405" s="242">
        <v>8.36</v>
      </c>
      <c r="O405" s="242">
        <v>8.62</v>
      </c>
      <c r="P405" s="242">
        <v>10.15</v>
      </c>
      <c r="Q405" s="242">
        <v>16.27</v>
      </c>
    </row>
    <row r="406">
      <c r="A406" s="242" t="s">
        <v>719</v>
      </c>
      <c r="B406" s="242" t="s">
        <v>732</v>
      </c>
      <c r="C406" s="242" t="s">
        <v>727</v>
      </c>
      <c r="E406" s="242" t="s">
        <v>474</v>
      </c>
      <c r="F406" s="417">
        <v>46108.0</v>
      </c>
      <c r="G406" s="242">
        <v>592.8636</v>
      </c>
      <c r="H406" s="242">
        <v>7.14</v>
      </c>
      <c r="I406" s="242">
        <v>-15.37</v>
      </c>
      <c r="J406" s="242">
        <v>-177.39</v>
      </c>
      <c r="K406" s="242">
        <v>-13.69</v>
      </c>
      <c r="L406" s="242">
        <v>-13.02</v>
      </c>
      <c r="M406" s="242">
        <v>0.5</v>
      </c>
      <c r="N406" s="242">
        <v>6.27</v>
      </c>
      <c r="O406" s="242">
        <v>7.14</v>
      </c>
      <c r="P406" s="242">
        <v>10.22</v>
      </c>
      <c r="Q406" s="242">
        <v>15.4</v>
      </c>
    </row>
    <row r="407">
      <c r="A407" s="242" t="s">
        <v>719</v>
      </c>
      <c r="B407" s="242" t="s">
        <v>732</v>
      </c>
      <c r="C407" s="242" t="s">
        <v>728</v>
      </c>
      <c r="E407" s="242" t="s">
        <v>474</v>
      </c>
      <c r="F407" s="417">
        <v>46108.0</v>
      </c>
      <c r="G407" s="242">
        <v>389.4806</v>
      </c>
      <c r="H407" s="242">
        <v>9.08</v>
      </c>
      <c r="I407" s="242">
        <v>-3.99</v>
      </c>
      <c r="J407" s="242">
        <v>-64.71</v>
      </c>
      <c r="K407" s="242">
        <v>-3.27</v>
      </c>
      <c r="L407" s="242">
        <v>-2.63</v>
      </c>
      <c r="M407" s="242">
        <v>5.09</v>
      </c>
      <c r="N407" s="242">
        <v>8.7</v>
      </c>
      <c r="O407" s="242">
        <v>9.08</v>
      </c>
      <c r="P407" s="242">
        <v>10.86</v>
      </c>
      <c r="Q407" s="242">
        <v>15.69</v>
      </c>
    </row>
    <row r="408">
      <c r="A408" s="242" t="s">
        <v>719</v>
      </c>
      <c r="B408" s="242" t="s">
        <v>732</v>
      </c>
      <c r="C408" s="242" t="s">
        <v>729</v>
      </c>
      <c r="E408" s="242" t="s">
        <v>474</v>
      </c>
      <c r="F408" s="417">
        <v>46108.0</v>
      </c>
      <c r="G408" s="242">
        <v>29.1726</v>
      </c>
      <c r="H408" s="242">
        <v>9.3</v>
      </c>
      <c r="I408" s="242">
        <v>-4.62</v>
      </c>
      <c r="J408" s="242">
        <v>-43.0</v>
      </c>
      <c r="K408" s="242">
        <v>-5.74</v>
      </c>
      <c r="L408" s="242">
        <v>-3.05</v>
      </c>
      <c r="M408" s="242">
        <v>5.48</v>
      </c>
      <c r="N408" s="242">
        <v>8.98</v>
      </c>
      <c r="O408" s="242">
        <v>9.3</v>
      </c>
      <c r="P408" s="242">
        <v>10.25</v>
      </c>
      <c r="Q408" s="242">
        <v>15.75</v>
      </c>
    </row>
    <row r="409">
      <c r="A409" s="242" t="s">
        <v>719</v>
      </c>
      <c r="B409" s="242" t="s">
        <v>732</v>
      </c>
      <c r="C409" s="242" t="s">
        <v>730</v>
      </c>
      <c r="E409" s="242" t="s">
        <v>474</v>
      </c>
      <c r="F409" s="417">
        <v>46108.0</v>
      </c>
      <c r="G409" s="242">
        <v>630.68</v>
      </c>
      <c r="H409" s="242">
        <v>7.4</v>
      </c>
      <c r="I409" s="242">
        <v>-16.91</v>
      </c>
      <c r="J409" s="242">
        <v>-212.87</v>
      </c>
      <c r="K409" s="242">
        <v>-19.44</v>
      </c>
      <c r="L409" s="242">
        <v>-14.3</v>
      </c>
      <c r="M409" s="242">
        <v>0.62</v>
      </c>
      <c r="N409" s="242">
        <v>6.39</v>
      </c>
      <c r="O409" s="242">
        <v>7.4</v>
      </c>
      <c r="P409" s="242">
        <v>9.4</v>
      </c>
      <c r="Q409" s="242">
        <v>16.25</v>
      </c>
    </row>
    <row r="410">
      <c r="A410" s="242" t="s">
        <v>719</v>
      </c>
      <c r="B410" s="242" t="s">
        <v>732</v>
      </c>
      <c r="C410" s="242" t="s">
        <v>731</v>
      </c>
      <c r="E410" s="242" t="s">
        <v>474</v>
      </c>
      <c r="F410" s="417">
        <v>46110.0</v>
      </c>
      <c r="G410" s="242">
        <v>547.3321</v>
      </c>
      <c r="H410" s="242">
        <v>9.54</v>
      </c>
      <c r="I410" s="242">
        <v>-1.73</v>
      </c>
      <c r="J410" s="242">
        <v>10.11</v>
      </c>
      <c r="K410" s="242">
        <v>1.6</v>
      </c>
      <c r="L410" s="242">
        <v>-1.33</v>
      </c>
      <c r="M410" s="242">
        <v>5.59</v>
      </c>
      <c r="N410" s="242">
        <v>9.02</v>
      </c>
      <c r="O410" s="242">
        <v>9.4</v>
      </c>
      <c r="P410" s="242">
        <v>10.7</v>
      </c>
      <c r="Q410" s="242">
        <v>16.26</v>
      </c>
    </row>
    <row r="411">
      <c r="A411" s="242" t="s">
        <v>719</v>
      </c>
      <c r="B411" s="242" t="s">
        <v>733</v>
      </c>
      <c r="C411" s="242" t="s">
        <v>729</v>
      </c>
      <c r="E411" s="242" t="s">
        <v>474</v>
      </c>
      <c r="F411" s="417">
        <v>46106.0</v>
      </c>
      <c r="G411" s="242">
        <v>52.3156</v>
      </c>
      <c r="H411" s="242">
        <v>31.57</v>
      </c>
      <c r="I411" s="242">
        <v>-11.24</v>
      </c>
      <c r="J411" s="242">
        <v>0.62</v>
      </c>
      <c r="K411" s="242">
        <v>-10.08</v>
      </c>
      <c r="L411" s="242">
        <v>-10.17</v>
      </c>
      <c r="M411" s="242">
        <v>1.27</v>
      </c>
      <c r="N411" s="242">
        <v>17.69</v>
      </c>
      <c r="O411" s="242">
        <v>32.49</v>
      </c>
      <c r="P411" s="242">
        <v>42.8</v>
      </c>
      <c r="Q411" s="242">
        <v>102.17</v>
      </c>
    </row>
    <row r="412">
      <c r="A412" s="242" t="s">
        <v>719</v>
      </c>
      <c r="B412" s="242" t="s">
        <v>733</v>
      </c>
      <c r="C412" s="242" t="s">
        <v>731</v>
      </c>
      <c r="E412" s="242" t="s">
        <v>474</v>
      </c>
      <c r="F412" s="417">
        <v>46092.0</v>
      </c>
      <c r="G412" s="242">
        <v>505.17</v>
      </c>
      <c r="H412" s="242">
        <v>49.11</v>
      </c>
      <c r="I412" s="242">
        <v>-1.23</v>
      </c>
      <c r="J412" s="242">
        <v>-0.23</v>
      </c>
      <c r="K412" s="242">
        <v>0.87</v>
      </c>
      <c r="L412" s="242">
        <v>2.58</v>
      </c>
      <c r="M412" s="242">
        <v>18.94</v>
      </c>
      <c r="N412" s="242">
        <v>36.8</v>
      </c>
      <c r="O412" s="242">
        <v>44.72</v>
      </c>
      <c r="P412" s="242">
        <v>66.35</v>
      </c>
      <c r="Q412" s="242">
        <v>149.99</v>
      </c>
    </row>
    <row r="413">
      <c r="A413" s="242" t="s">
        <v>719</v>
      </c>
      <c r="B413" s="242" t="s">
        <v>734</v>
      </c>
      <c r="C413" s="242" t="s">
        <v>721</v>
      </c>
      <c r="E413" s="242" t="s">
        <v>474</v>
      </c>
      <c r="F413" s="417">
        <v>46108.0</v>
      </c>
      <c r="G413" s="242">
        <v>573.9779</v>
      </c>
      <c r="H413" s="242">
        <v>21.96</v>
      </c>
      <c r="I413" s="242">
        <v>-9.5</v>
      </c>
      <c r="J413" s="242">
        <v>-0.94</v>
      </c>
      <c r="K413" s="242">
        <v>-1.94</v>
      </c>
      <c r="L413" s="242">
        <v>-7.67</v>
      </c>
      <c r="M413" s="242">
        <v>-12.94</v>
      </c>
      <c r="N413" s="242">
        <v>-6.92</v>
      </c>
      <c r="O413" s="242">
        <v>21.96</v>
      </c>
      <c r="P413" s="242">
        <v>26.74</v>
      </c>
      <c r="Q413" s="242">
        <v>135.68</v>
      </c>
    </row>
    <row r="414">
      <c r="A414" s="242" t="s">
        <v>719</v>
      </c>
      <c r="B414" s="242" t="s">
        <v>734</v>
      </c>
      <c r="C414" s="242" t="s">
        <v>722</v>
      </c>
      <c r="E414" s="242" t="s">
        <v>474</v>
      </c>
      <c r="F414" s="417">
        <v>46107.0</v>
      </c>
      <c r="G414" s="242">
        <v>466.2158</v>
      </c>
      <c r="H414" s="242">
        <v>18.87</v>
      </c>
      <c r="I414" s="242">
        <v>-11.01</v>
      </c>
      <c r="J414" s="242">
        <v>-3.45</v>
      </c>
      <c r="K414" s="242">
        <v>-2.99</v>
      </c>
      <c r="L414" s="242">
        <v>-10.01</v>
      </c>
      <c r="M414" s="242">
        <v>-12.29</v>
      </c>
      <c r="N414" s="242">
        <v>-8.0</v>
      </c>
      <c r="O414" s="242">
        <v>19.29</v>
      </c>
      <c r="P414" s="242">
        <v>24.86</v>
      </c>
      <c r="Q414" s="242">
        <v>164.49</v>
      </c>
    </row>
    <row r="415">
      <c r="A415" s="242" t="s">
        <v>719</v>
      </c>
      <c r="B415" s="242" t="s">
        <v>734</v>
      </c>
      <c r="C415" s="242" t="s">
        <v>723</v>
      </c>
      <c r="E415" s="242" t="s">
        <v>474</v>
      </c>
      <c r="F415" s="417">
        <v>46108.0</v>
      </c>
      <c r="G415" s="242">
        <v>296.5684</v>
      </c>
      <c r="H415" s="242">
        <v>18.65</v>
      </c>
      <c r="I415" s="242">
        <v>-11.61</v>
      </c>
      <c r="J415" s="242">
        <v>-1.02</v>
      </c>
      <c r="K415" s="242">
        <v>-2.98</v>
      </c>
      <c r="L415" s="242">
        <v>-10.08</v>
      </c>
      <c r="M415" s="242">
        <v>-15.08</v>
      </c>
      <c r="N415" s="242">
        <v>-6.73</v>
      </c>
      <c r="O415" s="242">
        <v>18.65</v>
      </c>
      <c r="P415" s="242">
        <v>23.5</v>
      </c>
      <c r="Q415" s="242">
        <v>130.79</v>
      </c>
    </row>
    <row r="416">
      <c r="A416" s="242" t="s">
        <v>719</v>
      </c>
      <c r="B416" s="242" t="s">
        <v>734</v>
      </c>
      <c r="C416" s="242" t="s">
        <v>724</v>
      </c>
      <c r="E416" s="242" t="s">
        <v>474</v>
      </c>
      <c r="F416" s="417">
        <v>46108.0</v>
      </c>
      <c r="G416" s="418">
        <v>177.2079</v>
      </c>
      <c r="H416" s="242">
        <v>-26.21</v>
      </c>
      <c r="I416" s="242">
        <v>-6.63</v>
      </c>
      <c r="J416" s="242">
        <v>-0.26</v>
      </c>
      <c r="K416" s="242">
        <v>-3.79</v>
      </c>
      <c r="L416" s="242">
        <v>-7.31</v>
      </c>
      <c r="M416" s="242">
        <v>-16.61</v>
      </c>
      <c r="N416" s="242">
        <v>-21.27</v>
      </c>
      <c r="O416" s="242">
        <v>-26.21</v>
      </c>
      <c r="P416" s="242">
        <v>-26.52</v>
      </c>
      <c r="Q416" s="242">
        <v>22.42</v>
      </c>
    </row>
    <row r="417">
      <c r="A417" s="242" t="s">
        <v>719</v>
      </c>
      <c r="B417" s="242" t="s">
        <v>734</v>
      </c>
      <c r="C417" s="242" t="s">
        <v>725</v>
      </c>
      <c r="E417" s="242" t="s">
        <v>474</v>
      </c>
      <c r="F417" s="417">
        <v>46108.0</v>
      </c>
      <c r="G417" s="418">
        <v>2138.21</v>
      </c>
      <c r="H417" s="242">
        <v>20.63</v>
      </c>
      <c r="I417" s="242">
        <v>-10.18</v>
      </c>
      <c r="J417" s="242">
        <v>-0.88</v>
      </c>
      <c r="K417" s="242">
        <v>-1.57</v>
      </c>
      <c r="L417" s="242">
        <v>-8.05</v>
      </c>
      <c r="M417" s="242">
        <v>-12.69</v>
      </c>
      <c r="N417" s="242">
        <v>-6.84</v>
      </c>
      <c r="O417" s="242">
        <v>20.63</v>
      </c>
      <c r="P417" s="242">
        <v>27.58</v>
      </c>
      <c r="Q417" s="242">
        <v>133.35</v>
      </c>
    </row>
    <row r="418">
      <c r="A418" s="242" t="s">
        <v>719</v>
      </c>
      <c r="B418" s="242" t="s">
        <v>734</v>
      </c>
      <c r="C418" s="242" t="s">
        <v>726</v>
      </c>
      <c r="E418" s="242" t="s">
        <v>474</v>
      </c>
      <c r="F418" s="417">
        <v>46108.0</v>
      </c>
      <c r="G418" s="418">
        <v>895.0702</v>
      </c>
      <c r="H418" s="242">
        <v>10.49</v>
      </c>
      <c r="I418" s="242">
        <v>-11.02</v>
      </c>
      <c r="J418" s="242">
        <v>-1.05</v>
      </c>
      <c r="K418" s="242">
        <v>-2.4</v>
      </c>
      <c r="L418" s="242">
        <v>-9.14</v>
      </c>
      <c r="M418" s="242">
        <v>-17.1</v>
      </c>
      <c r="N418" s="242">
        <v>-12.3</v>
      </c>
      <c r="O418" s="242">
        <v>10.49</v>
      </c>
      <c r="P418" s="242">
        <v>11.5</v>
      </c>
      <c r="Q418" s="242">
        <v>96.76</v>
      </c>
    </row>
    <row r="419">
      <c r="A419" s="242" t="s">
        <v>719</v>
      </c>
      <c r="B419" s="242" t="s">
        <v>734</v>
      </c>
      <c r="C419" s="242" t="s">
        <v>727</v>
      </c>
      <c r="E419" s="242" t="s">
        <v>474</v>
      </c>
      <c r="F419" s="417">
        <v>46108.0</v>
      </c>
      <c r="G419" s="418">
        <v>1540.8186</v>
      </c>
      <c r="H419" s="242">
        <v>18.18</v>
      </c>
      <c r="I419" s="242">
        <v>-12.32</v>
      </c>
      <c r="J419" s="242">
        <v>-0.83</v>
      </c>
      <c r="K419" s="242">
        <v>-3.18</v>
      </c>
      <c r="L419" s="242">
        <v>-10.48</v>
      </c>
      <c r="M419" s="242">
        <v>-17.07</v>
      </c>
      <c r="N419" s="242">
        <v>-12.55</v>
      </c>
      <c r="O419" s="242">
        <v>18.18</v>
      </c>
      <c r="P419" s="242">
        <v>19.77</v>
      </c>
      <c r="Q419" s="242">
        <v>131.87</v>
      </c>
    </row>
    <row r="420">
      <c r="A420" s="242" t="s">
        <v>719</v>
      </c>
      <c r="B420" s="242" t="s">
        <v>734</v>
      </c>
      <c r="C420" s="242" t="s">
        <v>728</v>
      </c>
      <c r="E420" s="242" t="s">
        <v>474</v>
      </c>
      <c r="F420" s="417">
        <v>46108.0</v>
      </c>
      <c r="G420" s="418">
        <v>1233.0754</v>
      </c>
      <c r="H420" s="242">
        <v>18.78</v>
      </c>
      <c r="I420" s="242">
        <v>-11.29</v>
      </c>
      <c r="J420" s="242">
        <v>-1.09</v>
      </c>
      <c r="K420" s="242">
        <v>-1.38</v>
      </c>
      <c r="L420" s="242">
        <v>-8.61</v>
      </c>
      <c r="M420" s="242">
        <v>-13.71</v>
      </c>
      <c r="N420" s="242">
        <v>-8.29</v>
      </c>
      <c r="O420" s="242">
        <v>18.78</v>
      </c>
      <c r="P420" s="242">
        <v>26.38</v>
      </c>
      <c r="Q420" s="242">
        <v>141.52</v>
      </c>
    </row>
    <row r="421">
      <c r="A421" s="242" t="s">
        <v>719</v>
      </c>
      <c r="B421" s="242" t="s">
        <v>734</v>
      </c>
      <c r="C421" s="242" t="s">
        <v>729</v>
      </c>
      <c r="E421" s="242" t="s">
        <v>474</v>
      </c>
      <c r="F421" s="417">
        <v>46108.0</v>
      </c>
      <c r="G421" s="418">
        <v>30.0727</v>
      </c>
      <c r="H421" s="242">
        <v>21.01</v>
      </c>
      <c r="I421" s="242">
        <v>-7.76</v>
      </c>
      <c r="J421" s="242">
        <v>-0.94</v>
      </c>
      <c r="K421" s="242">
        <v>-1.17</v>
      </c>
      <c r="L421" s="242">
        <v>-6.21</v>
      </c>
      <c r="M421" s="242">
        <v>-10.44</v>
      </c>
      <c r="N421" s="242">
        <v>-5.66</v>
      </c>
      <c r="O421" s="242">
        <v>21.01</v>
      </c>
      <c r="P421" s="242">
        <v>28.11</v>
      </c>
      <c r="Q421" s="242">
        <v>120.39</v>
      </c>
    </row>
    <row r="422">
      <c r="A422" s="242" t="s">
        <v>719</v>
      </c>
      <c r="B422" s="242" t="s">
        <v>734</v>
      </c>
      <c r="C422" s="242" t="s">
        <v>730</v>
      </c>
      <c r="E422" s="242" t="s">
        <v>474</v>
      </c>
      <c r="F422" s="417">
        <v>46108.0</v>
      </c>
      <c r="G422" s="418">
        <v>2138.8</v>
      </c>
      <c r="H422" s="242">
        <v>27.82</v>
      </c>
      <c r="I422" s="242">
        <v>-11.99</v>
      </c>
      <c r="J422" s="242">
        <v>-0.7</v>
      </c>
      <c r="K422" s="242">
        <v>-1.98</v>
      </c>
      <c r="L422" s="242">
        <v>-9.64</v>
      </c>
      <c r="M422" s="242">
        <v>-9.22</v>
      </c>
      <c r="N422" s="242">
        <v>-2.07</v>
      </c>
      <c r="O422" s="242">
        <v>27.82</v>
      </c>
      <c r="P422" s="242">
        <v>43.24</v>
      </c>
      <c r="Q422" s="242">
        <v>167.25</v>
      </c>
    </row>
    <row r="423">
      <c r="A423" s="242" t="s">
        <v>719</v>
      </c>
      <c r="B423" s="242" t="s">
        <v>734</v>
      </c>
      <c r="C423" s="242" t="s">
        <v>731</v>
      </c>
      <c r="E423" s="242" t="s">
        <v>474</v>
      </c>
      <c r="F423" s="417">
        <v>46110.0</v>
      </c>
      <c r="G423" s="418">
        <v>3037.9709</v>
      </c>
      <c r="H423" s="242">
        <v>17.8</v>
      </c>
      <c r="I423" s="242">
        <v>-11.14</v>
      </c>
      <c r="J423" s="242" t="s">
        <v>474</v>
      </c>
      <c r="K423" s="242">
        <v>-1.79</v>
      </c>
      <c r="L423" s="242">
        <v>-11.15</v>
      </c>
      <c r="M423" s="242">
        <v>-13.76</v>
      </c>
      <c r="N423" s="242">
        <v>-9.25</v>
      </c>
      <c r="O423" s="242">
        <v>15.2</v>
      </c>
      <c r="P423" s="242">
        <v>30.41</v>
      </c>
      <c r="Q423" s="242">
        <v>155.04</v>
      </c>
    </row>
    <row r="424">
      <c r="A424" s="242" t="s">
        <v>719</v>
      </c>
      <c r="B424" s="242" t="s">
        <v>735</v>
      </c>
      <c r="C424" s="242" t="s">
        <v>736</v>
      </c>
      <c r="E424" s="242" t="s">
        <v>474</v>
      </c>
      <c r="F424" s="417">
        <v>46108.0</v>
      </c>
      <c r="G424" s="242">
        <v>228.3014</v>
      </c>
      <c r="H424" s="242">
        <v>9.27</v>
      </c>
      <c r="I424" s="242">
        <v>8.08</v>
      </c>
      <c r="J424" s="242">
        <v>17.78</v>
      </c>
      <c r="K424" s="242">
        <v>7.81</v>
      </c>
      <c r="L424" s="242">
        <v>8.15</v>
      </c>
      <c r="M424" s="242">
        <v>8.7</v>
      </c>
      <c r="N424" s="242">
        <v>9.32</v>
      </c>
      <c r="O424" s="242">
        <v>9.27</v>
      </c>
      <c r="P424" s="242">
        <v>9.63</v>
      </c>
      <c r="Q424" s="242">
        <v>13.19</v>
      </c>
    </row>
    <row r="425">
      <c r="A425" s="242" t="s">
        <v>719</v>
      </c>
      <c r="B425" s="242" t="s">
        <v>735</v>
      </c>
      <c r="C425" s="242" t="s">
        <v>737</v>
      </c>
      <c r="E425" s="242" t="s">
        <v>474</v>
      </c>
      <c r="F425" s="417">
        <v>46110.0</v>
      </c>
      <c r="G425" s="242">
        <v>357.7963</v>
      </c>
      <c r="H425" s="242">
        <v>8.45</v>
      </c>
      <c r="I425" s="242">
        <v>4.37</v>
      </c>
      <c r="J425" s="242">
        <v>5.04</v>
      </c>
      <c r="K425" s="242">
        <v>3.57</v>
      </c>
      <c r="L425" s="242">
        <v>4.39</v>
      </c>
      <c r="M425" s="242">
        <v>7.0</v>
      </c>
      <c r="N425" s="242">
        <v>8.07</v>
      </c>
      <c r="O425" s="242">
        <v>8.46</v>
      </c>
      <c r="P425" s="242">
        <v>8.79</v>
      </c>
      <c r="Q425" s="242">
        <v>13.96</v>
      </c>
    </row>
    <row r="426">
      <c r="A426" s="242" t="s">
        <v>719</v>
      </c>
      <c r="B426" s="242" t="s">
        <v>735</v>
      </c>
      <c r="C426" s="242" t="s">
        <v>738</v>
      </c>
      <c r="E426" s="242" t="s">
        <v>474</v>
      </c>
      <c r="F426" s="417">
        <v>46107.0</v>
      </c>
      <c r="G426" s="242">
        <v>163.8552</v>
      </c>
      <c r="H426" s="242">
        <v>8.54</v>
      </c>
      <c r="I426" s="242">
        <v>0.92</v>
      </c>
      <c r="J426" s="242">
        <v>-4.96</v>
      </c>
      <c r="K426" s="242">
        <v>-1.19</v>
      </c>
      <c r="L426" s="242">
        <v>1.64</v>
      </c>
      <c r="M426" s="242">
        <v>6.2</v>
      </c>
      <c r="N426" s="242">
        <v>8.02</v>
      </c>
      <c r="O426" s="242">
        <v>8.59</v>
      </c>
      <c r="P426" s="242">
        <v>8.94</v>
      </c>
      <c r="Q426" s="242">
        <v>12.64</v>
      </c>
    </row>
    <row r="427">
      <c r="A427" s="242" t="s">
        <v>719</v>
      </c>
      <c r="B427" s="242" t="s">
        <v>735</v>
      </c>
      <c r="C427" s="242" t="s">
        <v>739</v>
      </c>
      <c r="E427" s="242" t="s">
        <v>474</v>
      </c>
      <c r="F427" s="417">
        <v>46108.0</v>
      </c>
      <c r="G427" s="242">
        <v>218.9031</v>
      </c>
      <c r="H427" s="242">
        <v>9.4</v>
      </c>
      <c r="I427" s="242">
        <v>7.8</v>
      </c>
      <c r="J427" s="242">
        <v>6.5</v>
      </c>
      <c r="K427" s="242">
        <v>7.86</v>
      </c>
      <c r="L427" s="242">
        <v>7.87</v>
      </c>
      <c r="M427" s="242">
        <v>8.66</v>
      </c>
      <c r="N427" s="242">
        <v>9.07</v>
      </c>
      <c r="O427" s="242">
        <v>9.4</v>
      </c>
      <c r="P427" s="242">
        <v>10.45</v>
      </c>
      <c r="Q427" s="242">
        <v>14.16</v>
      </c>
    </row>
    <row r="428">
      <c r="A428" s="242" t="s">
        <v>719</v>
      </c>
      <c r="B428" s="242" t="s">
        <v>735</v>
      </c>
      <c r="C428" s="242" t="s">
        <v>740</v>
      </c>
      <c r="E428" s="242" t="s">
        <v>474</v>
      </c>
      <c r="F428" s="417">
        <v>46108.0</v>
      </c>
      <c r="G428" s="242">
        <v>418.57</v>
      </c>
      <c r="H428" s="242">
        <v>8.38</v>
      </c>
      <c r="I428" s="242">
        <v>-3.32</v>
      </c>
      <c r="J428" s="242">
        <v>3.5</v>
      </c>
      <c r="K428" s="242">
        <v>-3.66</v>
      </c>
      <c r="L428" s="242">
        <v>-2.18</v>
      </c>
      <c r="M428" s="242">
        <v>5.94</v>
      </c>
      <c r="N428" s="242">
        <v>7.42</v>
      </c>
      <c r="O428" s="242">
        <v>8.38</v>
      </c>
      <c r="P428" s="242">
        <v>9.15</v>
      </c>
      <c r="Q428" s="242">
        <v>15.44</v>
      </c>
    </row>
    <row r="429">
      <c r="A429" s="242" t="s">
        <v>719</v>
      </c>
      <c r="B429" s="242" t="s">
        <v>735</v>
      </c>
      <c r="C429" s="242" t="s">
        <v>741</v>
      </c>
      <c r="E429" s="242" t="s">
        <v>474</v>
      </c>
      <c r="F429" s="417">
        <v>46108.0</v>
      </c>
      <c r="G429" s="242">
        <v>500.76</v>
      </c>
      <c r="H429" s="242">
        <v>9.88</v>
      </c>
      <c r="I429" s="242">
        <v>7.6</v>
      </c>
      <c r="J429" s="242">
        <v>13.87</v>
      </c>
      <c r="K429" s="242">
        <v>7.7</v>
      </c>
      <c r="L429" s="242">
        <v>7.65</v>
      </c>
      <c r="M429" s="242">
        <v>8.86</v>
      </c>
      <c r="N429" s="242">
        <v>9.88</v>
      </c>
      <c r="O429" s="242">
        <v>9.88</v>
      </c>
      <c r="P429" s="242">
        <v>9.81</v>
      </c>
      <c r="Q429" s="242">
        <v>14.05</v>
      </c>
    </row>
    <row r="430">
      <c r="A430" s="242" t="s">
        <v>719</v>
      </c>
      <c r="B430" s="242" t="s">
        <v>735</v>
      </c>
      <c r="C430" s="242" t="s">
        <v>742</v>
      </c>
      <c r="E430" s="242" t="s">
        <v>474</v>
      </c>
      <c r="F430" s="417">
        <v>46108.0</v>
      </c>
      <c r="G430" s="242">
        <v>110.0332</v>
      </c>
      <c r="H430" s="242">
        <v>9.93</v>
      </c>
      <c r="I430" s="242">
        <v>9.07</v>
      </c>
      <c r="J430" s="242">
        <v>29.2</v>
      </c>
      <c r="K430" s="242">
        <v>8.33</v>
      </c>
      <c r="L430" s="242">
        <v>9.39</v>
      </c>
      <c r="M430" s="242">
        <v>10.6</v>
      </c>
      <c r="N430" s="242">
        <v>10.36</v>
      </c>
      <c r="O430" s="242">
        <v>9.93</v>
      </c>
      <c r="P430" s="242" t="s">
        <v>474</v>
      </c>
      <c r="Q430" s="242" t="s">
        <v>474</v>
      </c>
    </row>
    <row r="431">
      <c r="A431" s="242" t="s">
        <v>719</v>
      </c>
      <c r="B431" s="242" t="s">
        <v>735</v>
      </c>
      <c r="C431" s="242" t="s">
        <v>743</v>
      </c>
      <c r="E431" s="242" t="s">
        <v>474</v>
      </c>
      <c r="F431" s="417">
        <v>46108.0</v>
      </c>
      <c r="G431" s="242">
        <v>101.4615</v>
      </c>
      <c r="H431" s="242">
        <v>4.6</v>
      </c>
      <c r="I431" s="242">
        <v>4.24</v>
      </c>
      <c r="J431" s="242">
        <v>-0.58</v>
      </c>
      <c r="K431" s="242">
        <v>4.27</v>
      </c>
      <c r="L431" s="242">
        <v>3.07</v>
      </c>
      <c r="M431" s="242">
        <v>4.42</v>
      </c>
      <c r="N431" s="242" t="s">
        <v>474</v>
      </c>
      <c r="O431" s="242" t="s">
        <v>474</v>
      </c>
      <c r="P431" s="242" t="s">
        <v>474</v>
      </c>
      <c r="Q431" s="242" t="s">
        <v>474</v>
      </c>
    </row>
    <row r="432">
      <c r="A432" s="242" t="s">
        <v>719</v>
      </c>
      <c r="B432" s="242" t="s">
        <v>735</v>
      </c>
      <c r="C432" s="242" t="s">
        <v>744</v>
      </c>
      <c r="E432" s="242" t="s">
        <v>474</v>
      </c>
      <c r="F432" s="417">
        <v>46108.0</v>
      </c>
      <c r="G432" s="242">
        <v>183.7304</v>
      </c>
      <c r="H432" s="242">
        <v>8.76</v>
      </c>
      <c r="I432" s="242">
        <v>5.91</v>
      </c>
      <c r="J432" s="242">
        <v>-1.83</v>
      </c>
      <c r="K432" s="242">
        <v>6.29</v>
      </c>
      <c r="L432" s="242">
        <v>6.21</v>
      </c>
      <c r="M432" s="242">
        <v>8.12</v>
      </c>
      <c r="N432" s="242">
        <v>8.49</v>
      </c>
      <c r="O432" s="242">
        <v>8.76</v>
      </c>
      <c r="P432" s="242">
        <v>9.85</v>
      </c>
      <c r="Q432" s="242">
        <v>14.91</v>
      </c>
    </row>
    <row r="433">
      <c r="A433" s="242" t="s">
        <v>719</v>
      </c>
      <c r="B433" s="242" t="s">
        <v>735</v>
      </c>
      <c r="C433" s="242" t="s">
        <v>745</v>
      </c>
      <c r="E433" s="242" t="s">
        <v>474</v>
      </c>
      <c r="F433" s="417">
        <v>46108.0</v>
      </c>
      <c r="G433" s="242">
        <v>315.7864</v>
      </c>
      <c r="H433" s="242">
        <v>8.75</v>
      </c>
      <c r="I433" s="242">
        <v>6.68</v>
      </c>
      <c r="J433" s="242">
        <v>12.45</v>
      </c>
      <c r="K433" s="242">
        <v>7.13</v>
      </c>
      <c r="L433" s="242">
        <v>6.85</v>
      </c>
      <c r="M433" s="242">
        <v>8.52</v>
      </c>
      <c r="N433" s="242">
        <v>8.8</v>
      </c>
      <c r="O433" s="242">
        <v>8.75</v>
      </c>
      <c r="P433" s="242">
        <v>9.23</v>
      </c>
      <c r="Q433" s="242">
        <v>13.56</v>
      </c>
    </row>
    <row r="434">
      <c r="A434" s="242" t="s">
        <v>719</v>
      </c>
      <c r="B434" s="242" t="s">
        <v>735</v>
      </c>
      <c r="C434" s="242" t="s">
        <v>746</v>
      </c>
      <c r="E434" s="242" t="s">
        <v>474</v>
      </c>
      <c r="F434" s="417">
        <v>46108.0</v>
      </c>
      <c r="G434" s="242">
        <v>415.6168</v>
      </c>
      <c r="H434" s="242">
        <v>9.54</v>
      </c>
      <c r="I434" s="242">
        <v>5.48</v>
      </c>
      <c r="J434" s="242">
        <v>14.05</v>
      </c>
      <c r="K434" s="242">
        <v>8.04</v>
      </c>
      <c r="L434" s="242">
        <v>6.0</v>
      </c>
      <c r="M434" s="242">
        <v>9.74</v>
      </c>
      <c r="N434" s="242">
        <v>9.57</v>
      </c>
      <c r="O434" s="242">
        <v>9.54</v>
      </c>
      <c r="P434" s="242">
        <v>9.65</v>
      </c>
      <c r="Q434" s="242">
        <v>15.26</v>
      </c>
    </row>
    <row r="435">
      <c r="A435" s="242" t="s">
        <v>719</v>
      </c>
      <c r="B435" s="242" t="s">
        <v>735</v>
      </c>
      <c r="C435" s="242" t="s">
        <v>747</v>
      </c>
      <c r="E435" s="242" t="s">
        <v>474</v>
      </c>
      <c r="F435" s="417">
        <v>46108.0</v>
      </c>
      <c r="G435" s="242">
        <v>103.5952</v>
      </c>
      <c r="H435" s="242">
        <v>9.58</v>
      </c>
      <c r="I435" s="242">
        <v>9.05</v>
      </c>
      <c r="J435" s="242">
        <v>9.02</v>
      </c>
      <c r="K435" s="242">
        <v>9.04</v>
      </c>
      <c r="L435" s="242">
        <v>9.06</v>
      </c>
      <c r="M435" s="242">
        <v>9.19</v>
      </c>
      <c r="N435" s="242" t="s">
        <v>474</v>
      </c>
      <c r="O435" s="242" t="s">
        <v>474</v>
      </c>
      <c r="P435" s="242" t="s">
        <v>474</v>
      </c>
      <c r="Q435" s="242" t="s">
        <v>474</v>
      </c>
    </row>
    <row r="436">
      <c r="A436" s="242" t="s">
        <v>719</v>
      </c>
      <c r="B436" s="242" t="s">
        <v>735</v>
      </c>
      <c r="C436" s="242" t="s">
        <v>748</v>
      </c>
      <c r="E436" s="242" t="s">
        <v>474</v>
      </c>
      <c r="F436" s="417">
        <v>46108.0</v>
      </c>
      <c r="G436" s="242">
        <v>10.8073</v>
      </c>
      <c r="H436" s="242">
        <v>9.22</v>
      </c>
      <c r="I436" s="242">
        <v>4.83</v>
      </c>
      <c r="J436" s="242">
        <v>7.45</v>
      </c>
      <c r="K436" s="242">
        <v>4.92</v>
      </c>
      <c r="L436" s="242">
        <v>5.44</v>
      </c>
      <c r="M436" s="242">
        <v>7.29</v>
      </c>
      <c r="N436" s="242">
        <v>8.99</v>
      </c>
      <c r="O436" s="242">
        <v>9.22</v>
      </c>
      <c r="P436" s="242" t="s">
        <v>474</v>
      </c>
      <c r="Q436" s="242" t="s">
        <v>474</v>
      </c>
    </row>
    <row r="437">
      <c r="A437" s="242" t="s">
        <v>719</v>
      </c>
      <c r="B437" s="242" t="s">
        <v>735</v>
      </c>
      <c r="C437" s="242" t="s">
        <v>749</v>
      </c>
      <c r="E437" s="242" t="s">
        <v>474</v>
      </c>
      <c r="F437" s="417">
        <v>46108.0</v>
      </c>
      <c r="G437" s="242">
        <v>512.6954</v>
      </c>
      <c r="H437" s="242">
        <v>9.61</v>
      </c>
      <c r="I437" s="242">
        <v>8.05</v>
      </c>
      <c r="J437" s="242">
        <v>5.69</v>
      </c>
      <c r="K437" s="242">
        <v>7.75</v>
      </c>
      <c r="L437" s="242">
        <v>8.21</v>
      </c>
      <c r="M437" s="242">
        <v>9.14</v>
      </c>
      <c r="N437" s="242">
        <v>9.51</v>
      </c>
      <c r="O437" s="242">
        <v>9.61</v>
      </c>
      <c r="P437" s="242">
        <v>10.09</v>
      </c>
      <c r="Q437" s="242">
        <v>15.01</v>
      </c>
    </row>
    <row r="438">
      <c r="A438" s="242" t="s">
        <v>719</v>
      </c>
      <c r="B438" s="242" t="s">
        <v>735</v>
      </c>
      <c r="C438" s="242" t="s">
        <v>750</v>
      </c>
      <c r="E438" s="242" t="s">
        <v>474</v>
      </c>
      <c r="F438" s="417">
        <v>46108.0</v>
      </c>
      <c r="G438" s="242">
        <v>297.404</v>
      </c>
      <c r="H438" s="242">
        <v>9.12</v>
      </c>
      <c r="I438" s="242">
        <v>7.41</v>
      </c>
      <c r="J438" s="242">
        <v>3.8</v>
      </c>
      <c r="K438" s="242">
        <v>7.09</v>
      </c>
      <c r="L438" s="242">
        <v>7.55</v>
      </c>
      <c r="M438" s="242">
        <v>8.47</v>
      </c>
      <c r="N438" s="242">
        <v>9.03</v>
      </c>
      <c r="O438" s="242">
        <v>9.12</v>
      </c>
      <c r="P438" s="242">
        <v>9.71</v>
      </c>
      <c r="Q438" s="242">
        <v>13.59</v>
      </c>
    </row>
    <row r="439">
      <c r="A439" s="242" t="s">
        <v>719</v>
      </c>
      <c r="B439" s="242" t="s">
        <v>735</v>
      </c>
      <c r="C439" s="242" t="s">
        <v>751</v>
      </c>
      <c r="E439" s="242" t="s">
        <v>474</v>
      </c>
      <c r="F439" s="417">
        <v>46108.0</v>
      </c>
      <c r="G439" s="242">
        <v>25.3839</v>
      </c>
      <c r="H439" s="242">
        <v>9.93</v>
      </c>
      <c r="I439" s="242">
        <v>9.17</v>
      </c>
      <c r="J439" s="242">
        <v>9.05</v>
      </c>
      <c r="K439" s="242">
        <v>8.95</v>
      </c>
      <c r="L439" s="242">
        <v>9.15</v>
      </c>
      <c r="M439" s="242">
        <v>9.3</v>
      </c>
      <c r="N439" s="242">
        <v>10.7</v>
      </c>
      <c r="O439" s="242">
        <v>9.93</v>
      </c>
      <c r="P439" s="242">
        <v>9.92</v>
      </c>
      <c r="Q439" s="242">
        <v>13.68</v>
      </c>
    </row>
    <row r="440">
      <c r="A440" s="242" t="s">
        <v>719</v>
      </c>
      <c r="B440" s="242" t="s">
        <v>735</v>
      </c>
      <c r="C440" s="242" t="s">
        <v>752</v>
      </c>
      <c r="E440" s="242" t="s">
        <v>474</v>
      </c>
      <c r="F440" s="417">
        <v>46108.0</v>
      </c>
      <c r="G440" s="242">
        <v>162.2162</v>
      </c>
      <c r="H440" s="242">
        <v>9.61</v>
      </c>
      <c r="I440" s="242">
        <v>7.2</v>
      </c>
      <c r="J440" s="242">
        <v>0.51</v>
      </c>
      <c r="K440" s="242">
        <v>6.64</v>
      </c>
      <c r="L440" s="242">
        <v>7.26</v>
      </c>
      <c r="M440" s="242">
        <v>8.75</v>
      </c>
      <c r="N440" s="242">
        <v>10.0</v>
      </c>
      <c r="O440" s="242">
        <v>9.61</v>
      </c>
      <c r="P440" s="242">
        <v>9.95</v>
      </c>
      <c r="Q440" s="242">
        <v>15.0</v>
      </c>
    </row>
    <row r="441">
      <c r="A441" s="242" t="s">
        <v>719</v>
      </c>
      <c r="B441" s="242" t="s">
        <v>753</v>
      </c>
      <c r="C441" s="242" t="s">
        <v>736</v>
      </c>
      <c r="E441" s="242" t="s">
        <v>474</v>
      </c>
      <c r="F441" s="417">
        <v>46108.0</v>
      </c>
      <c r="G441" s="242">
        <v>225.1509</v>
      </c>
      <c r="H441" s="242">
        <v>8.54</v>
      </c>
      <c r="I441" s="242">
        <v>7.8</v>
      </c>
      <c r="J441" s="242">
        <v>4.05</v>
      </c>
      <c r="K441" s="242">
        <v>6.48</v>
      </c>
      <c r="L441" s="242">
        <v>7.85</v>
      </c>
      <c r="M441" s="242">
        <v>8.05</v>
      </c>
      <c r="N441" s="242">
        <v>8.63</v>
      </c>
      <c r="O441" s="242">
        <v>8.54</v>
      </c>
      <c r="P441" s="242">
        <v>9.48</v>
      </c>
      <c r="Q441" s="242">
        <v>12.05</v>
      </c>
    </row>
    <row r="442">
      <c r="A442" s="242" t="s">
        <v>719</v>
      </c>
      <c r="B442" s="242" t="s">
        <v>753</v>
      </c>
      <c r="C442" s="242" t="s">
        <v>737</v>
      </c>
      <c r="E442" s="242" t="s">
        <v>474</v>
      </c>
      <c r="F442" s="417">
        <v>46110.0</v>
      </c>
      <c r="G442" s="242">
        <v>370.1722</v>
      </c>
      <c r="H442" s="242">
        <v>9.13</v>
      </c>
      <c r="I442" s="242">
        <v>6.57</v>
      </c>
      <c r="J442" s="242">
        <v>9.38</v>
      </c>
      <c r="K442" s="242">
        <v>5.95</v>
      </c>
      <c r="L442" s="242">
        <v>6.69</v>
      </c>
      <c r="M442" s="242">
        <v>8.79</v>
      </c>
      <c r="N442" s="242">
        <v>8.98</v>
      </c>
      <c r="O442" s="242">
        <v>9.11</v>
      </c>
      <c r="P442" s="242">
        <v>9.91</v>
      </c>
      <c r="Q442" s="242">
        <v>13.85</v>
      </c>
    </row>
    <row r="443">
      <c r="A443" s="242" t="s">
        <v>719</v>
      </c>
      <c r="B443" s="242" t="s">
        <v>753</v>
      </c>
      <c r="C443" s="242" t="s">
        <v>738</v>
      </c>
      <c r="E443" s="242" t="s">
        <v>474</v>
      </c>
      <c r="F443" s="417">
        <v>46107.0</v>
      </c>
      <c r="G443" s="242">
        <v>165.65</v>
      </c>
      <c r="H443" s="242">
        <v>7.65</v>
      </c>
      <c r="I443" s="242">
        <v>-9.57</v>
      </c>
      <c r="J443" s="242">
        <v>-22.56</v>
      </c>
      <c r="K443" s="242">
        <v>-17.1</v>
      </c>
      <c r="L443" s="242">
        <v>-7.6</v>
      </c>
      <c r="M443" s="242">
        <v>4.4</v>
      </c>
      <c r="N443" s="242">
        <v>6.82</v>
      </c>
      <c r="O443" s="242">
        <v>7.66</v>
      </c>
      <c r="P443" s="242">
        <v>8.35</v>
      </c>
      <c r="Q443" s="242">
        <v>12.19</v>
      </c>
    </row>
    <row r="444">
      <c r="A444" s="242" t="s">
        <v>719</v>
      </c>
      <c r="B444" s="242" t="s">
        <v>753</v>
      </c>
      <c r="C444" s="242" t="s">
        <v>739</v>
      </c>
      <c r="E444" s="242" t="s">
        <v>474</v>
      </c>
      <c r="F444" s="417">
        <v>46108.0</v>
      </c>
      <c r="G444" s="242">
        <v>211.9292</v>
      </c>
      <c r="H444" s="242">
        <v>8.7</v>
      </c>
      <c r="I444" s="242">
        <v>-0.58</v>
      </c>
      <c r="J444" s="242">
        <v>10.15</v>
      </c>
      <c r="K444" s="242">
        <v>3.65</v>
      </c>
      <c r="L444" s="242">
        <v>0.6</v>
      </c>
      <c r="M444" s="242">
        <v>6.55</v>
      </c>
      <c r="N444" s="242">
        <v>6.76</v>
      </c>
      <c r="O444" s="242">
        <v>8.7</v>
      </c>
      <c r="P444" s="242">
        <v>11.07</v>
      </c>
      <c r="Q444" s="242">
        <v>14.7</v>
      </c>
    </row>
    <row r="445">
      <c r="A445" s="242" t="s">
        <v>719</v>
      </c>
      <c r="B445" s="242" t="s">
        <v>753</v>
      </c>
      <c r="C445" s="242" t="s">
        <v>740</v>
      </c>
      <c r="E445" s="242" t="s">
        <v>474</v>
      </c>
      <c r="F445" s="417">
        <v>46108.0</v>
      </c>
      <c r="G445" s="242">
        <v>456.6</v>
      </c>
      <c r="H445" s="242">
        <v>7.4</v>
      </c>
      <c r="I445" s="242">
        <v>-14.47</v>
      </c>
      <c r="J445" s="242">
        <v>-15.18</v>
      </c>
      <c r="K445" s="242">
        <v>-14.57</v>
      </c>
      <c r="L445" s="242">
        <v>-12.27</v>
      </c>
      <c r="M445" s="242">
        <v>3.09</v>
      </c>
      <c r="N445" s="242">
        <v>5.64</v>
      </c>
      <c r="O445" s="242">
        <v>7.4</v>
      </c>
      <c r="P445" s="242">
        <v>8.93</v>
      </c>
      <c r="Q445" s="242">
        <v>15.77</v>
      </c>
    </row>
    <row r="446">
      <c r="A446" s="242" t="s">
        <v>719</v>
      </c>
      <c r="B446" s="242" t="s">
        <v>753</v>
      </c>
      <c r="C446" s="242" t="s">
        <v>741</v>
      </c>
      <c r="E446" s="242" t="s">
        <v>474</v>
      </c>
      <c r="F446" s="417">
        <v>46108.0</v>
      </c>
      <c r="G446" s="242">
        <v>472.72</v>
      </c>
      <c r="H446" s="242">
        <v>9.86</v>
      </c>
      <c r="I446" s="242">
        <v>7.27</v>
      </c>
      <c r="J446" s="242">
        <v>14.67</v>
      </c>
      <c r="K446" s="242">
        <v>7.8</v>
      </c>
      <c r="L446" s="242">
        <v>7.35</v>
      </c>
      <c r="M446" s="242">
        <v>8.76</v>
      </c>
      <c r="N446" s="242">
        <v>9.58</v>
      </c>
      <c r="O446" s="242">
        <v>9.86</v>
      </c>
      <c r="P446" s="242">
        <v>10.56</v>
      </c>
      <c r="Q446" s="242">
        <v>14.86</v>
      </c>
    </row>
    <row r="447">
      <c r="A447" s="242" t="s">
        <v>719</v>
      </c>
      <c r="B447" s="242" t="s">
        <v>753</v>
      </c>
      <c r="C447" s="242" t="s">
        <v>742</v>
      </c>
      <c r="E447" s="242" t="s">
        <v>474</v>
      </c>
      <c r="F447" s="417">
        <v>46108.0</v>
      </c>
      <c r="G447" s="242">
        <v>111.8023</v>
      </c>
      <c r="H447" s="242">
        <v>12.37</v>
      </c>
      <c r="I447" s="242">
        <v>9.35</v>
      </c>
      <c r="J447" s="242">
        <v>9.42</v>
      </c>
      <c r="K447" s="242">
        <v>9.38</v>
      </c>
      <c r="L447" s="242">
        <v>9.33</v>
      </c>
      <c r="M447" s="242">
        <v>12.93</v>
      </c>
      <c r="N447" s="242">
        <v>12.26</v>
      </c>
      <c r="O447" s="242">
        <v>12.37</v>
      </c>
      <c r="P447" s="242" t="s">
        <v>474</v>
      </c>
      <c r="Q447" s="242" t="s">
        <v>474</v>
      </c>
    </row>
    <row r="448">
      <c r="A448" s="242" t="s">
        <v>719</v>
      </c>
      <c r="B448" s="242" t="s">
        <v>753</v>
      </c>
      <c r="C448" s="242" t="s">
        <v>743</v>
      </c>
      <c r="E448" s="242" t="s">
        <v>474</v>
      </c>
      <c r="F448" s="417">
        <v>46108.0</v>
      </c>
      <c r="G448" s="242">
        <v>99.7483</v>
      </c>
      <c r="H448" s="242">
        <v>-0.79</v>
      </c>
      <c r="I448" s="242">
        <v>-12.69</v>
      </c>
      <c r="J448" s="242">
        <v>26.97</v>
      </c>
      <c r="K448" s="242">
        <v>-22.59</v>
      </c>
      <c r="L448" s="242">
        <v>-13.14</v>
      </c>
      <c r="M448" s="242">
        <v>-2.26</v>
      </c>
      <c r="N448" s="242" t="s">
        <v>474</v>
      </c>
      <c r="O448" s="242" t="s">
        <v>474</v>
      </c>
      <c r="P448" s="242" t="s">
        <v>474</v>
      </c>
      <c r="Q448" s="242" t="s">
        <v>474</v>
      </c>
    </row>
    <row r="449">
      <c r="A449" s="242" t="s">
        <v>719</v>
      </c>
      <c r="B449" s="242" t="s">
        <v>753</v>
      </c>
      <c r="C449" s="242" t="s">
        <v>744</v>
      </c>
      <c r="E449" s="242" t="s">
        <v>474</v>
      </c>
      <c r="F449" s="417">
        <v>46108.0</v>
      </c>
      <c r="G449" s="242">
        <v>178.9383</v>
      </c>
      <c r="H449" s="242">
        <v>8.0</v>
      </c>
      <c r="I449" s="242">
        <v>4.32</v>
      </c>
      <c r="J449" s="242">
        <v>-12.56</v>
      </c>
      <c r="K449" s="242">
        <v>4.33</v>
      </c>
      <c r="L449" s="242">
        <v>4.7</v>
      </c>
      <c r="M449" s="242">
        <v>7.15</v>
      </c>
      <c r="N449" s="242">
        <v>7.58</v>
      </c>
      <c r="O449" s="242">
        <v>8.0</v>
      </c>
      <c r="P449" s="242">
        <v>9.67</v>
      </c>
      <c r="Q449" s="242">
        <v>14.32</v>
      </c>
    </row>
    <row r="450">
      <c r="A450" s="242" t="s">
        <v>719</v>
      </c>
      <c r="B450" s="242" t="s">
        <v>753</v>
      </c>
      <c r="C450" s="242" t="s">
        <v>745</v>
      </c>
      <c r="E450" s="242" t="s">
        <v>474</v>
      </c>
      <c r="F450" s="417">
        <v>46108.0</v>
      </c>
      <c r="G450" s="242">
        <v>333.4884</v>
      </c>
      <c r="H450" s="242">
        <v>9.02</v>
      </c>
      <c r="I450" s="242">
        <v>3.14</v>
      </c>
      <c r="J450" s="242">
        <v>7.15</v>
      </c>
      <c r="K450" s="242">
        <v>4.13</v>
      </c>
      <c r="L450" s="242">
        <v>3.61</v>
      </c>
      <c r="M450" s="242">
        <v>7.91</v>
      </c>
      <c r="N450" s="242">
        <v>8.3</v>
      </c>
      <c r="O450" s="242">
        <v>9.02</v>
      </c>
      <c r="P450" s="242">
        <v>10.28</v>
      </c>
      <c r="Q450" s="242">
        <v>15.3</v>
      </c>
    </row>
    <row r="451">
      <c r="A451" s="242" t="s">
        <v>719</v>
      </c>
      <c r="B451" s="242" t="s">
        <v>753</v>
      </c>
      <c r="C451" s="242" t="s">
        <v>746</v>
      </c>
      <c r="E451" s="242" t="s">
        <v>474</v>
      </c>
      <c r="F451" s="417">
        <v>46108.0</v>
      </c>
      <c r="G451" s="242">
        <v>436.751</v>
      </c>
      <c r="H451" s="242">
        <v>6.48</v>
      </c>
      <c r="I451" s="242">
        <v>-9.61</v>
      </c>
      <c r="J451" s="242">
        <v>-30.11</v>
      </c>
      <c r="K451" s="242">
        <v>-13.63</v>
      </c>
      <c r="L451" s="242">
        <v>-7.8</v>
      </c>
      <c r="M451" s="242">
        <v>2.76</v>
      </c>
      <c r="N451" s="242">
        <v>5.72</v>
      </c>
      <c r="O451" s="242">
        <v>6.48</v>
      </c>
      <c r="P451" s="242">
        <v>10.97</v>
      </c>
      <c r="Q451" s="242">
        <v>13.57</v>
      </c>
    </row>
    <row r="452">
      <c r="A452" s="242" t="s">
        <v>719</v>
      </c>
      <c r="B452" s="242" t="s">
        <v>753</v>
      </c>
      <c r="C452" s="242" t="s">
        <v>747</v>
      </c>
      <c r="E452" s="242" t="s">
        <v>474</v>
      </c>
      <c r="F452" s="417">
        <v>46108.0</v>
      </c>
      <c r="G452" s="242">
        <v>103.7576</v>
      </c>
      <c r="H452" s="242">
        <v>10.01</v>
      </c>
      <c r="I452" s="242">
        <v>10.28</v>
      </c>
      <c r="J452" s="242">
        <v>9.34</v>
      </c>
      <c r="K452" s="242">
        <v>10.91</v>
      </c>
      <c r="L452" s="242">
        <v>10.22</v>
      </c>
      <c r="M452" s="242">
        <v>10.03</v>
      </c>
      <c r="N452" s="242" t="s">
        <v>474</v>
      </c>
      <c r="O452" s="242" t="s">
        <v>474</v>
      </c>
      <c r="P452" s="242" t="s">
        <v>474</v>
      </c>
      <c r="Q452" s="242" t="s">
        <v>474</v>
      </c>
    </row>
    <row r="453">
      <c r="A453" s="242" t="s">
        <v>719</v>
      </c>
      <c r="B453" s="242" t="s">
        <v>753</v>
      </c>
      <c r="C453" s="242" t="s">
        <v>748</v>
      </c>
      <c r="E453" s="242" t="s">
        <v>474</v>
      </c>
      <c r="F453" s="417">
        <v>46108.0</v>
      </c>
      <c r="G453" s="242">
        <v>10.9161</v>
      </c>
      <c r="H453" s="242">
        <v>10.27</v>
      </c>
      <c r="I453" s="242">
        <v>2.16</v>
      </c>
      <c r="J453" s="242">
        <v>-0.33</v>
      </c>
      <c r="K453" s="242">
        <v>1.29</v>
      </c>
      <c r="L453" s="242">
        <v>2.84</v>
      </c>
      <c r="M453" s="242">
        <v>7.7</v>
      </c>
      <c r="N453" s="242">
        <v>9.66</v>
      </c>
      <c r="O453" s="242">
        <v>10.27</v>
      </c>
      <c r="P453" s="242" t="s">
        <v>474</v>
      </c>
      <c r="Q453" s="242" t="s">
        <v>474</v>
      </c>
    </row>
    <row r="454">
      <c r="A454" s="242" t="s">
        <v>719</v>
      </c>
      <c r="B454" s="242" t="s">
        <v>753</v>
      </c>
      <c r="C454" s="242" t="s">
        <v>749</v>
      </c>
      <c r="E454" s="242" t="s">
        <v>474</v>
      </c>
      <c r="F454" s="417">
        <v>46108.0</v>
      </c>
      <c r="G454" s="242">
        <v>514.7592</v>
      </c>
      <c r="H454" s="242">
        <v>9.28</v>
      </c>
      <c r="I454" s="242">
        <v>6.76</v>
      </c>
      <c r="J454" s="242">
        <v>1.68</v>
      </c>
      <c r="K454" s="242">
        <v>6.47</v>
      </c>
      <c r="L454" s="242">
        <v>7.09</v>
      </c>
      <c r="M454" s="242">
        <v>8.73</v>
      </c>
      <c r="N454" s="242">
        <v>9.26</v>
      </c>
      <c r="O454" s="242">
        <v>9.28</v>
      </c>
      <c r="P454" s="242">
        <v>9.82</v>
      </c>
      <c r="Q454" s="242">
        <v>14.25</v>
      </c>
    </row>
    <row r="455">
      <c r="A455" s="242" t="s">
        <v>719</v>
      </c>
      <c r="B455" s="242" t="s">
        <v>753</v>
      </c>
      <c r="C455" s="242" t="s">
        <v>750</v>
      </c>
      <c r="E455" s="242" t="s">
        <v>474</v>
      </c>
      <c r="F455" s="417">
        <v>46108.0</v>
      </c>
      <c r="G455" s="242">
        <v>291.4121</v>
      </c>
      <c r="H455" s="242">
        <v>8.75</v>
      </c>
      <c r="I455" s="242">
        <v>6.93</v>
      </c>
      <c r="J455" s="242">
        <v>-0.91</v>
      </c>
      <c r="K455" s="242">
        <v>6.52</v>
      </c>
      <c r="L455" s="242">
        <v>7.13</v>
      </c>
      <c r="M455" s="242">
        <v>8.19</v>
      </c>
      <c r="N455" s="242">
        <v>8.58</v>
      </c>
      <c r="O455" s="242">
        <v>8.75</v>
      </c>
      <c r="P455" s="242">
        <v>9.55</v>
      </c>
      <c r="Q455" s="242">
        <v>13.65</v>
      </c>
    </row>
    <row r="456">
      <c r="A456" s="242" t="s">
        <v>719</v>
      </c>
      <c r="B456" s="242" t="s">
        <v>753</v>
      </c>
      <c r="C456" s="242" t="s">
        <v>751</v>
      </c>
      <c r="E456" s="242" t="s">
        <v>474</v>
      </c>
      <c r="F456" s="417">
        <v>46108.0</v>
      </c>
      <c r="G456" s="242">
        <v>25.5965</v>
      </c>
      <c r="H456" s="242">
        <v>9.99</v>
      </c>
      <c r="I456" s="242">
        <v>9.44</v>
      </c>
      <c r="J456" s="242">
        <v>9.42</v>
      </c>
      <c r="K456" s="242">
        <v>9.78</v>
      </c>
      <c r="L456" s="242">
        <v>9.48</v>
      </c>
      <c r="M456" s="242">
        <v>9.57</v>
      </c>
      <c r="N456" s="242">
        <v>10.45</v>
      </c>
      <c r="O456" s="242">
        <v>9.99</v>
      </c>
      <c r="P456" s="242">
        <v>9.93</v>
      </c>
      <c r="Q456" s="242">
        <v>14.29</v>
      </c>
    </row>
    <row r="457">
      <c r="A457" s="242" t="s">
        <v>719</v>
      </c>
      <c r="B457" s="242" t="s">
        <v>753</v>
      </c>
      <c r="C457" s="242" t="s">
        <v>752</v>
      </c>
      <c r="E457" s="242" t="s">
        <v>474</v>
      </c>
      <c r="F457" s="417">
        <v>46108.0</v>
      </c>
      <c r="G457" s="242">
        <v>165.4228</v>
      </c>
      <c r="H457" s="242">
        <v>9.96</v>
      </c>
      <c r="I457" s="242">
        <v>8.97</v>
      </c>
      <c r="J457" s="242">
        <v>7.67</v>
      </c>
      <c r="K457" s="242">
        <v>8.64</v>
      </c>
      <c r="L457" s="242">
        <v>8.97</v>
      </c>
      <c r="M457" s="242">
        <v>11.52</v>
      </c>
      <c r="N457" s="242">
        <v>9.18</v>
      </c>
      <c r="O457" s="242">
        <v>9.96</v>
      </c>
      <c r="P457" s="242">
        <v>12.27</v>
      </c>
      <c r="Q457" s="242">
        <v>15.92</v>
      </c>
    </row>
    <row r="458">
      <c r="A458" s="242" t="s">
        <v>719</v>
      </c>
      <c r="B458" s="242" t="s">
        <v>754</v>
      </c>
      <c r="C458" s="242" t="s">
        <v>747</v>
      </c>
      <c r="E458" s="242" t="s">
        <v>474</v>
      </c>
      <c r="F458" s="417">
        <v>46107.0</v>
      </c>
      <c r="G458" s="242">
        <v>110.538</v>
      </c>
      <c r="H458" s="242">
        <v>10.54</v>
      </c>
      <c r="I458" s="242">
        <v>-5.81</v>
      </c>
      <c r="J458" s="242">
        <v>-2.03</v>
      </c>
      <c r="K458" s="242">
        <v>-2.1</v>
      </c>
      <c r="L458" s="242">
        <v>-5.11</v>
      </c>
      <c r="M458" s="242">
        <v>5.78</v>
      </c>
      <c r="N458" s="242" t="s">
        <v>474</v>
      </c>
      <c r="O458" s="242" t="s">
        <v>474</v>
      </c>
      <c r="P458" s="242" t="s">
        <v>474</v>
      </c>
      <c r="Q458" s="242" t="s">
        <v>474</v>
      </c>
    </row>
    <row r="459">
      <c r="A459" s="242" t="s">
        <v>719</v>
      </c>
      <c r="B459" s="242" t="s">
        <v>754</v>
      </c>
      <c r="C459" s="242" t="s">
        <v>749</v>
      </c>
      <c r="E459" s="242" t="s">
        <v>474</v>
      </c>
      <c r="F459" s="417">
        <v>46107.0</v>
      </c>
      <c r="G459" s="242">
        <v>580.8433</v>
      </c>
      <c r="H459" s="242">
        <v>35.05</v>
      </c>
      <c r="I459" s="242">
        <v>-5.8</v>
      </c>
      <c r="J459" s="242">
        <v>-2.16</v>
      </c>
      <c r="K459" s="242">
        <v>-2.18</v>
      </c>
      <c r="L459" s="242">
        <v>-5.1</v>
      </c>
      <c r="M459" s="242">
        <v>6.41</v>
      </c>
      <c r="N459" s="242">
        <v>22.53</v>
      </c>
      <c r="O459" s="242">
        <v>35.99</v>
      </c>
      <c r="P459" s="242">
        <v>45.19</v>
      </c>
      <c r="Q459" s="242">
        <v>94.08</v>
      </c>
    </row>
    <row r="460">
      <c r="A460" s="242" t="s">
        <v>719</v>
      </c>
      <c r="B460" s="242" t="s">
        <v>755</v>
      </c>
      <c r="C460" s="242" t="s">
        <v>736</v>
      </c>
      <c r="E460" s="242" t="s">
        <v>474</v>
      </c>
      <c r="F460" s="417">
        <v>46108.0</v>
      </c>
      <c r="G460" s="418">
        <v>541.9646</v>
      </c>
      <c r="H460" s="242">
        <v>15.64</v>
      </c>
      <c r="I460" s="242">
        <v>-6.08</v>
      </c>
      <c r="J460" s="242">
        <v>-0.72</v>
      </c>
      <c r="K460" s="242">
        <v>-0.44</v>
      </c>
      <c r="L460" s="242">
        <v>-3.47</v>
      </c>
      <c r="M460" s="242">
        <v>-10.79</v>
      </c>
      <c r="N460" s="242">
        <v>-9.61</v>
      </c>
      <c r="O460" s="242">
        <v>15.64</v>
      </c>
      <c r="P460" s="242">
        <v>16.58</v>
      </c>
      <c r="Q460" s="242">
        <v>106.05</v>
      </c>
    </row>
    <row r="461">
      <c r="A461" s="242" t="s">
        <v>719</v>
      </c>
      <c r="B461" s="242" t="s">
        <v>755</v>
      </c>
      <c r="C461" s="242" t="s">
        <v>737</v>
      </c>
      <c r="E461" s="242" t="s">
        <v>474</v>
      </c>
      <c r="F461" s="417">
        <v>46110.0</v>
      </c>
      <c r="G461" s="418">
        <v>2573.3253</v>
      </c>
      <c r="H461" s="242">
        <v>15.31</v>
      </c>
      <c r="I461" s="242">
        <v>-8.6</v>
      </c>
      <c r="J461" s="242" t="s">
        <v>474</v>
      </c>
      <c r="K461" s="242">
        <v>-0.25</v>
      </c>
      <c r="L461" s="242">
        <v>-8.6</v>
      </c>
      <c r="M461" s="242">
        <v>-13.24</v>
      </c>
      <c r="N461" s="242">
        <v>-11.13</v>
      </c>
      <c r="O461" s="242">
        <v>14.46</v>
      </c>
      <c r="P461" s="242">
        <v>24.4</v>
      </c>
      <c r="Q461" s="242">
        <v>132.46</v>
      </c>
    </row>
    <row r="462">
      <c r="A462" s="242" t="s">
        <v>719</v>
      </c>
      <c r="B462" s="242" t="s">
        <v>755</v>
      </c>
      <c r="C462" s="242" t="s">
        <v>738</v>
      </c>
      <c r="E462" s="242" t="s">
        <v>474</v>
      </c>
      <c r="F462" s="417">
        <v>46107.0</v>
      </c>
      <c r="G462" s="242">
        <v>413.8203</v>
      </c>
      <c r="H462" s="242">
        <v>8.37</v>
      </c>
      <c r="I462" s="242">
        <v>-9.45</v>
      </c>
      <c r="J462" s="242">
        <v>-3.11</v>
      </c>
      <c r="K462" s="242">
        <v>-2.02</v>
      </c>
      <c r="L462" s="242">
        <v>-8.58</v>
      </c>
      <c r="M462" s="242">
        <v>-13.2</v>
      </c>
      <c r="N462" s="242">
        <v>-14.54</v>
      </c>
      <c r="O462" s="242">
        <v>8.49</v>
      </c>
      <c r="P462" s="242">
        <v>12.46</v>
      </c>
      <c r="Q462" s="242">
        <v>137.26</v>
      </c>
    </row>
    <row r="463">
      <c r="A463" s="242" t="s">
        <v>719</v>
      </c>
      <c r="B463" s="242" t="s">
        <v>755</v>
      </c>
      <c r="C463" s="242" t="s">
        <v>739</v>
      </c>
      <c r="E463" s="242" t="s">
        <v>474</v>
      </c>
      <c r="F463" s="417">
        <v>46108.0</v>
      </c>
      <c r="G463" s="418">
        <v>288.2764</v>
      </c>
      <c r="H463" s="242">
        <v>11.7</v>
      </c>
      <c r="I463" s="242">
        <v>-7.75</v>
      </c>
      <c r="J463" s="242">
        <v>-0.89</v>
      </c>
      <c r="K463" s="242">
        <v>-0.91</v>
      </c>
      <c r="L463" s="242">
        <v>-5.55</v>
      </c>
      <c r="M463" s="242">
        <v>-11.72</v>
      </c>
      <c r="N463" s="242">
        <v>-9.17</v>
      </c>
      <c r="O463" s="242">
        <v>11.7</v>
      </c>
      <c r="P463" s="242">
        <v>15.81</v>
      </c>
      <c r="Q463" s="242">
        <v>112.17</v>
      </c>
    </row>
    <row r="464">
      <c r="A464" s="242" t="s">
        <v>719</v>
      </c>
      <c r="B464" s="242" t="s">
        <v>755</v>
      </c>
      <c r="C464" s="242" t="s">
        <v>740</v>
      </c>
      <c r="E464" s="242" t="s">
        <v>474</v>
      </c>
      <c r="F464" s="417">
        <v>46108.0</v>
      </c>
      <c r="G464" s="418">
        <v>1909.01</v>
      </c>
      <c r="H464" s="242">
        <v>14.85</v>
      </c>
      <c r="I464" s="242">
        <v>-7.54</v>
      </c>
      <c r="J464" s="242">
        <v>-0.64</v>
      </c>
      <c r="K464" s="242">
        <v>-0.32</v>
      </c>
      <c r="L464" s="242">
        <v>-5.53</v>
      </c>
      <c r="M464" s="242">
        <v>-9.7</v>
      </c>
      <c r="N464" s="242">
        <v>-6.93</v>
      </c>
      <c r="O464" s="242">
        <v>14.85</v>
      </c>
      <c r="P464" s="242">
        <v>25.65</v>
      </c>
      <c r="Q464" s="242">
        <v>124.18</v>
      </c>
    </row>
    <row r="465">
      <c r="A465" s="242" t="s">
        <v>719</v>
      </c>
      <c r="B465" s="242" t="s">
        <v>755</v>
      </c>
      <c r="C465" s="242" t="s">
        <v>741</v>
      </c>
      <c r="E465" s="242" t="s">
        <v>474</v>
      </c>
      <c r="F465" s="417">
        <v>46108.0</v>
      </c>
      <c r="G465" s="418">
        <v>2394.99</v>
      </c>
      <c r="H465" s="242">
        <v>14.78</v>
      </c>
      <c r="I465" s="242">
        <v>-7.63</v>
      </c>
      <c r="J465" s="242">
        <v>-0.91</v>
      </c>
      <c r="K465" s="242">
        <v>-0.81</v>
      </c>
      <c r="L465" s="242">
        <v>-5.09</v>
      </c>
      <c r="M465" s="242">
        <v>-11.79</v>
      </c>
      <c r="N465" s="242">
        <v>-10.52</v>
      </c>
      <c r="O465" s="242">
        <v>14.78</v>
      </c>
      <c r="P465" s="242">
        <v>18.73</v>
      </c>
      <c r="Q465" s="242">
        <v>114.81</v>
      </c>
    </row>
    <row r="466">
      <c r="A466" s="242" t="s">
        <v>719</v>
      </c>
      <c r="B466" s="242" t="s">
        <v>755</v>
      </c>
      <c r="C466" s="242" t="s">
        <v>742</v>
      </c>
      <c r="E466" s="242" t="s">
        <v>474</v>
      </c>
      <c r="F466" s="417">
        <v>46108.0</v>
      </c>
      <c r="G466" s="242">
        <v>115.3614</v>
      </c>
      <c r="H466" s="242">
        <v>11.12</v>
      </c>
      <c r="I466" s="242">
        <v>-8.28</v>
      </c>
      <c r="J466" s="242">
        <v>-0.97</v>
      </c>
      <c r="K466" s="242">
        <v>-0.87</v>
      </c>
      <c r="L466" s="242">
        <v>-6.03</v>
      </c>
      <c r="M466" s="242">
        <v>-12.57</v>
      </c>
      <c r="N466" s="242">
        <v>-11.93</v>
      </c>
      <c r="O466" s="242">
        <v>11.12</v>
      </c>
      <c r="P466" s="242" t="s">
        <v>474</v>
      </c>
      <c r="Q466" s="242" t="s">
        <v>474</v>
      </c>
    </row>
    <row r="467">
      <c r="A467" s="242" t="s">
        <v>719</v>
      </c>
      <c r="B467" s="242" t="s">
        <v>755</v>
      </c>
      <c r="C467" s="242" t="s">
        <v>743</v>
      </c>
      <c r="E467" s="242" t="s">
        <v>474</v>
      </c>
      <c r="F467" s="417">
        <v>46108.0</v>
      </c>
      <c r="G467" s="242">
        <v>82.9371</v>
      </c>
      <c r="H467" s="242">
        <v>-17.06</v>
      </c>
      <c r="I467" s="242">
        <v>-7.66</v>
      </c>
      <c r="J467" s="242">
        <v>-0.85</v>
      </c>
      <c r="K467" s="242">
        <v>-0.89</v>
      </c>
      <c r="L467" s="242">
        <v>-5.46</v>
      </c>
      <c r="M467" s="242">
        <v>-17.23</v>
      </c>
      <c r="N467" s="242" t="s">
        <v>474</v>
      </c>
      <c r="O467" s="242" t="s">
        <v>474</v>
      </c>
      <c r="P467" s="242" t="s">
        <v>474</v>
      </c>
      <c r="Q467" s="242" t="s">
        <v>474</v>
      </c>
    </row>
    <row r="468">
      <c r="A468" s="242" t="s">
        <v>719</v>
      </c>
      <c r="B468" s="242" t="s">
        <v>755</v>
      </c>
      <c r="C468" s="242" t="s">
        <v>744</v>
      </c>
      <c r="E468" s="242" t="s">
        <v>474</v>
      </c>
      <c r="F468" s="417">
        <v>46108.0</v>
      </c>
      <c r="G468" s="418">
        <v>318.3482</v>
      </c>
      <c r="H468" s="242">
        <v>14.76</v>
      </c>
      <c r="I468" s="242">
        <v>-7.59</v>
      </c>
      <c r="J468" s="242">
        <v>-1.07</v>
      </c>
      <c r="K468" s="242">
        <v>-0.82</v>
      </c>
      <c r="L468" s="242">
        <v>-5.36</v>
      </c>
      <c r="M468" s="242">
        <v>-11.41</v>
      </c>
      <c r="N468" s="242">
        <v>-9.44</v>
      </c>
      <c r="O468" s="242">
        <v>14.76</v>
      </c>
      <c r="P468" s="242">
        <v>18.31</v>
      </c>
      <c r="Q468" s="242">
        <v>113.9</v>
      </c>
    </row>
    <row r="469">
      <c r="A469" s="242" t="s">
        <v>719</v>
      </c>
      <c r="B469" s="242" t="s">
        <v>755</v>
      </c>
      <c r="C469" s="242" t="s">
        <v>745</v>
      </c>
      <c r="E469" s="242" t="s">
        <v>474</v>
      </c>
      <c r="F469" s="417">
        <v>46108.0</v>
      </c>
      <c r="G469" s="418">
        <v>1034.9987</v>
      </c>
      <c r="H469" s="242">
        <v>10.91</v>
      </c>
      <c r="I469" s="242">
        <v>-8.42</v>
      </c>
      <c r="J469" s="242">
        <v>-1.16</v>
      </c>
      <c r="K469" s="242">
        <v>-1.55</v>
      </c>
      <c r="L469" s="242">
        <v>-6.08</v>
      </c>
      <c r="M469" s="242">
        <v>-14.11</v>
      </c>
      <c r="N469" s="242">
        <v>-9.71</v>
      </c>
      <c r="O469" s="242">
        <v>10.91</v>
      </c>
      <c r="P469" s="242">
        <v>10.66</v>
      </c>
      <c r="Q469" s="242">
        <v>111.69</v>
      </c>
    </row>
    <row r="470">
      <c r="A470" s="242" t="s">
        <v>719</v>
      </c>
      <c r="B470" s="242" t="s">
        <v>755</v>
      </c>
      <c r="C470" s="242" t="s">
        <v>746</v>
      </c>
      <c r="E470" s="242" t="s">
        <v>474</v>
      </c>
      <c r="F470" s="417">
        <v>46108.0</v>
      </c>
      <c r="G470" s="418">
        <v>1707.7457</v>
      </c>
      <c r="H470" s="242">
        <v>6.72</v>
      </c>
      <c r="I470" s="242">
        <v>-8.53</v>
      </c>
      <c r="J470" s="242">
        <v>-0.57</v>
      </c>
      <c r="K470" s="242">
        <v>-1.4</v>
      </c>
      <c r="L470" s="242">
        <v>-6.49</v>
      </c>
      <c r="M470" s="242">
        <v>-15.22</v>
      </c>
      <c r="N470" s="242">
        <v>-15.44</v>
      </c>
      <c r="O470" s="242">
        <v>6.72</v>
      </c>
      <c r="P470" s="242">
        <v>6.59</v>
      </c>
      <c r="Q470" s="242">
        <v>85.39</v>
      </c>
    </row>
    <row r="471">
      <c r="A471" s="242" t="s">
        <v>719</v>
      </c>
      <c r="B471" s="242" t="s">
        <v>755</v>
      </c>
      <c r="C471" s="242" t="s">
        <v>747</v>
      </c>
      <c r="E471" s="242" t="s">
        <v>474</v>
      </c>
      <c r="F471" s="417">
        <v>46108.0</v>
      </c>
      <c r="G471" s="242">
        <v>94.6491</v>
      </c>
      <c r="H471" s="242">
        <v>-5.35</v>
      </c>
      <c r="I471" s="242">
        <v>-7.02</v>
      </c>
      <c r="J471" s="242">
        <v>-0.97</v>
      </c>
      <c r="K471" s="242">
        <v>-0.63</v>
      </c>
      <c r="L471" s="242">
        <v>-4.44</v>
      </c>
      <c r="M471" s="242">
        <v>-12.52</v>
      </c>
      <c r="N471" s="242" t="s">
        <v>474</v>
      </c>
      <c r="O471" s="242" t="s">
        <v>474</v>
      </c>
      <c r="P471" s="242" t="s">
        <v>474</v>
      </c>
      <c r="Q471" s="242" t="s">
        <v>474</v>
      </c>
    </row>
    <row r="472">
      <c r="A472" s="242" t="s">
        <v>719</v>
      </c>
      <c r="B472" s="242" t="s">
        <v>755</v>
      </c>
      <c r="C472" s="242" t="s">
        <v>748</v>
      </c>
      <c r="E472" s="242" t="s">
        <v>474</v>
      </c>
      <c r="F472" s="417">
        <v>46108.0</v>
      </c>
      <c r="G472" s="418">
        <v>11.4011</v>
      </c>
      <c r="H472" s="242">
        <v>13.78</v>
      </c>
      <c r="I472" s="242">
        <v>-7.42</v>
      </c>
      <c r="J472" s="242">
        <v>-0.87</v>
      </c>
      <c r="K472" s="242">
        <v>-0.79</v>
      </c>
      <c r="L472" s="242">
        <v>-4.97</v>
      </c>
      <c r="M472" s="242">
        <v>-11.89</v>
      </c>
      <c r="N472" s="242">
        <v>-10.58</v>
      </c>
      <c r="O472" s="242">
        <v>13.78</v>
      </c>
      <c r="P472" s="242" t="s">
        <v>474</v>
      </c>
      <c r="Q472" s="242" t="s">
        <v>474</v>
      </c>
    </row>
    <row r="473">
      <c r="A473" s="242" t="s">
        <v>719</v>
      </c>
      <c r="B473" s="242" t="s">
        <v>755</v>
      </c>
      <c r="C473" s="242" t="s">
        <v>749</v>
      </c>
      <c r="E473" s="242" t="s">
        <v>474</v>
      </c>
      <c r="F473" s="417">
        <v>46108.0</v>
      </c>
      <c r="G473" s="418">
        <v>1569.6551</v>
      </c>
      <c r="H473" s="242">
        <v>9.94</v>
      </c>
      <c r="I473" s="242">
        <v>-7.84</v>
      </c>
      <c r="J473" s="242">
        <v>-1.06</v>
      </c>
      <c r="K473" s="242">
        <v>-0.56</v>
      </c>
      <c r="L473" s="242">
        <v>-5.63</v>
      </c>
      <c r="M473" s="242">
        <v>-14.65</v>
      </c>
      <c r="N473" s="242">
        <v>-13.49</v>
      </c>
      <c r="O473" s="242">
        <v>9.94</v>
      </c>
      <c r="P473" s="242">
        <v>16.2</v>
      </c>
      <c r="Q473" s="242">
        <v>102.83</v>
      </c>
    </row>
    <row r="474">
      <c r="A474" s="242" t="s">
        <v>719</v>
      </c>
      <c r="B474" s="242" t="s">
        <v>755</v>
      </c>
      <c r="C474" s="242" t="s">
        <v>750</v>
      </c>
      <c r="E474" s="242" t="s">
        <v>474</v>
      </c>
      <c r="F474" s="417">
        <v>46108.0</v>
      </c>
      <c r="G474" s="418">
        <v>1080.4097</v>
      </c>
      <c r="H474" s="242">
        <v>15.54</v>
      </c>
      <c r="I474" s="242">
        <v>-9.69</v>
      </c>
      <c r="J474" s="242">
        <v>-1.24</v>
      </c>
      <c r="K474" s="242">
        <v>-1.21</v>
      </c>
      <c r="L474" s="242">
        <v>-7.0</v>
      </c>
      <c r="M474" s="242">
        <v>-13.67</v>
      </c>
      <c r="N474" s="242">
        <v>-9.35</v>
      </c>
      <c r="O474" s="242">
        <v>15.54</v>
      </c>
      <c r="P474" s="242">
        <v>19.7</v>
      </c>
      <c r="Q474" s="242">
        <v>119.31</v>
      </c>
    </row>
    <row r="475">
      <c r="A475" s="242" t="s">
        <v>719</v>
      </c>
      <c r="B475" s="242" t="s">
        <v>755</v>
      </c>
      <c r="C475" s="242" t="s">
        <v>751</v>
      </c>
      <c r="E475" s="242" t="s">
        <v>474</v>
      </c>
      <c r="F475" s="417">
        <v>46108.0</v>
      </c>
      <c r="G475" s="242">
        <v>29.0694</v>
      </c>
      <c r="H475" s="242">
        <v>16.75</v>
      </c>
      <c r="I475" s="242">
        <v>-4.67</v>
      </c>
      <c r="J475" s="242">
        <v>-0.9</v>
      </c>
      <c r="K475" s="242">
        <v>-0.35</v>
      </c>
      <c r="L475" s="242">
        <v>-2.41</v>
      </c>
      <c r="M475" s="242">
        <v>-9.24</v>
      </c>
      <c r="N475" s="242">
        <v>-7.97</v>
      </c>
      <c r="O475" s="242">
        <v>16.75</v>
      </c>
      <c r="P475" s="242">
        <v>19.28</v>
      </c>
      <c r="Q475" s="242">
        <v>96.8</v>
      </c>
    </row>
    <row r="476">
      <c r="A476" s="242" t="s">
        <v>719</v>
      </c>
      <c r="B476" s="242" t="s">
        <v>755</v>
      </c>
      <c r="C476" s="242" t="s">
        <v>752</v>
      </c>
      <c r="E476" s="242" t="s">
        <v>474</v>
      </c>
      <c r="F476" s="417">
        <v>46108.0</v>
      </c>
      <c r="G476" s="242">
        <v>280.8097</v>
      </c>
      <c r="H476" s="242">
        <v>14.77</v>
      </c>
      <c r="I476" s="242">
        <v>-5.86</v>
      </c>
      <c r="J476" s="242">
        <v>-0.94</v>
      </c>
      <c r="K476" s="242">
        <v>-0.68</v>
      </c>
      <c r="L476" s="242">
        <v>-3.56</v>
      </c>
      <c r="M476" s="242">
        <v>-9.72</v>
      </c>
      <c r="N476" s="242">
        <v>-8.6</v>
      </c>
      <c r="O476" s="242">
        <v>14.77</v>
      </c>
      <c r="P476" s="242">
        <v>22.09</v>
      </c>
      <c r="Q476" s="242">
        <v>89.94</v>
      </c>
    </row>
    <row r="477">
      <c r="A477" s="242" t="s">
        <v>756</v>
      </c>
      <c r="B477" s="242" t="s">
        <v>757</v>
      </c>
      <c r="C477" s="242" t="s">
        <v>758</v>
      </c>
      <c r="E477" s="242" t="s">
        <v>474</v>
      </c>
      <c r="F477" s="417">
        <v>46108.0</v>
      </c>
      <c r="G477" s="242">
        <v>14.95</v>
      </c>
      <c r="H477" s="242">
        <v>-2.8</v>
      </c>
      <c r="I477" s="242">
        <v>-14.47</v>
      </c>
      <c r="J477" s="242">
        <v>-1.39</v>
      </c>
      <c r="K477" s="242">
        <v>-2.16</v>
      </c>
      <c r="L477" s="242">
        <v>-12.21</v>
      </c>
      <c r="M477" s="242">
        <v>-21.27</v>
      </c>
      <c r="N477" s="242">
        <v>-23.88</v>
      </c>
      <c r="O477" s="242">
        <v>-2.8</v>
      </c>
      <c r="P477" s="242">
        <v>2.0</v>
      </c>
      <c r="Q477" s="242">
        <v>71.86</v>
      </c>
    </row>
    <row r="478">
      <c r="A478" s="242" t="s">
        <v>756</v>
      </c>
      <c r="B478" s="242" t="s">
        <v>757</v>
      </c>
      <c r="C478" s="242" t="s">
        <v>759</v>
      </c>
      <c r="E478" s="242" t="s">
        <v>474</v>
      </c>
      <c r="F478" s="417">
        <v>46111.0</v>
      </c>
      <c r="G478" s="242">
        <v>9.7499</v>
      </c>
      <c r="H478" s="242">
        <v>8.62</v>
      </c>
      <c r="I478" s="242">
        <v>-12.87</v>
      </c>
      <c r="J478" s="242" t="s">
        <v>474</v>
      </c>
      <c r="K478" s="242">
        <v>-5.48</v>
      </c>
      <c r="L478" s="242">
        <v>-12.87</v>
      </c>
      <c r="M478" s="242">
        <v>-18.29</v>
      </c>
      <c r="N478" s="242">
        <v>-13.67</v>
      </c>
      <c r="O478" s="242">
        <v>8.86</v>
      </c>
      <c r="P478" s="242">
        <v>11.62</v>
      </c>
      <c r="Q478" s="242">
        <v>133.41</v>
      </c>
    </row>
    <row r="479">
      <c r="A479" s="242" t="s">
        <v>756</v>
      </c>
      <c r="B479" s="242" t="s">
        <v>757</v>
      </c>
      <c r="C479" s="242" t="s">
        <v>760</v>
      </c>
      <c r="E479" s="242" t="s">
        <v>474</v>
      </c>
      <c r="F479" s="417">
        <v>46109.0</v>
      </c>
      <c r="G479" s="242">
        <v>27.9236</v>
      </c>
      <c r="H479" s="242">
        <v>28.22</v>
      </c>
      <c r="I479" s="242">
        <v>-8.11</v>
      </c>
      <c r="J479" s="242">
        <v>-1.02</v>
      </c>
      <c r="K479" s="242">
        <v>-2.23</v>
      </c>
      <c r="L479" s="242">
        <v>-6.59</v>
      </c>
      <c r="M479" s="242">
        <v>-9.9</v>
      </c>
      <c r="N479" s="242">
        <v>-4.03</v>
      </c>
      <c r="O479" s="242">
        <v>28.22</v>
      </c>
      <c r="P479" s="242">
        <v>34.66</v>
      </c>
      <c r="Q479" s="242">
        <v>139.55</v>
      </c>
    </row>
    <row r="480">
      <c r="A480" s="242" t="s">
        <v>756</v>
      </c>
      <c r="B480" s="242" t="s">
        <v>757</v>
      </c>
      <c r="C480" s="242" t="s">
        <v>761</v>
      </c>
      <c r="E480" s="242" t="s">
        <v>474</v>
      </c>
      <c r="F480" s="417">
        <v>46111.0</v>
      </c>
      <c r="G480" s="242">
        <v>33.4306</v>
      </c>
      <c r="H480" s="242">
        <v>27.72</v>
      </c>
      <c r="I480" s="242">
        <v>-7.26</v>
      </c>
      <c r="J480" s="242" t="s">
        <v>474</v>
      </c>
      <c r="K480" s="242">
        <v>-0.33</v>
      </c>
      <c r="L480" s="242">
        <v>-7.27</v>
      </c>
      <c r="M480" s="242">
        <v>-10.13</v>
      </c>
      <c r="N480" s="242">
        <v>-4.48</v>
      </c>
      <c r="O480" s="242">
        <v>21.64</v>
      </c>
      <c r="P480" s="242">
        <v>23.95</v>
      </c>
      <c r="Q480" s="242">
        <v>145.7</v>
      </c>
    </row>
    <row r="481">
      <c r="A481" s="242" t="s">
        <v>756</v>
      </c>
      <c r="B481" s="242" t="s">
        <v>757</v>
      </c>
      <c r="C481" s="242" t="s">
        <v>762</v>
      </c>
      <c r="E481" s="242" t="s">
        <v>474</v>
      </c>
      <c r="F481" s="417">
        <v>46111.0</v>
      </c>
      <c r="G481" s="242">
        <v>36.1037</v>
      </c>
      <c r="H481" s="242">
        <v>27.6</v>
      </c>
      <c r="I481" s="242">
        <v>-8.28</v>
      </c>
      <c r="J481" s="242" t="s">
        <v>474</v>
      </c>
      <c r="K481" s="242">
        <v>-0.21</v>
      </c>
      <c r="L481" s="242">
        <v>-8.28</v>
      </c>
      <c r="M481" s="242">
        <v>-10.61</v>
      </c>
      <c r="N481" s="242">
        <v>-4.25</v>
      </c>
      <c r="O481" s="242">
        <v>20.77</v>
      </c>
      <c r="P481" s="242">
        <v>42.95</v>
      </c>
      <c r="Q481" s="242">
        <v>151.68</v>
      </c>
    </row>
    <row r="482">
      <c r="A482" s="242" t="s">
        <v>756</v>
      </c>
      <c r="B482" s="242" t="s">
        <v>763</v>
      </c>
      <c r="C482" s="242" t="s">
        <v>764</v>
      </c>
      <c r="E482" s="242" t="s">
        <v>474</v>
      </c>
      <c r="F482" s="417">
        <v>46107.0</v>
      </c>
      <c r="G482" s="242">
        <v>110.3341</v>
      </c>
      <c r="H482" s="242">
        <v>9.37</v>
      </c>
      <c r="I482" s="242">
        <v>4.45</v>
      </c>
      <c r="J482" s="242">
        <v>9.96</v>
      </c>
      <c r="K482" s="242">
        <v>5.25</v>
      </c>
      <c r="L482" s="242">
        <v>4.73</v>
      </c>
      <c r="M482" s="242">
        <v>7.45</v>
      </c>
      <c r="N482" s="242">
        <v>8.89</v>
      </c>
      <c r="O482" s="242">
        <v>9.43</v>
      </c>
      <c r="P482" s="242">
        <v>10.2</v>
      </c>
      <c r="Q482" s="242">
        <v>15.93</v>
      </c>
    </row>
    <row r="483">
      <c r="A483" s="242" t="s">
        <v>756</v>
      </c>
      <c r="B483" s="242" t="s">
        <v>765</v>
      </c>
      <c r="C483" s="242" t="s">
        <v>766</v>
      </c>
      <c r="E483" s="242" t="s">
        <v>474</v>
      </c>
      <c r="F483" s="417">
        <v>46107.0</v>
      </c>
      <c r="G483" s="242">
        <v>15.62</v>
      </c>
      <c r="H483" s="242">
        <v>17.09</v>
      </c>
      <c r="I483" s="242">
        <v>-6.07</v>
      </c>
      <c r="J483" s="242">
        <v>-3.16</v>
      </c>
      <c r="K483" s="242">
        <v>-0.51</v>
      </c>
      <c r="L483" s="242">
        <v>-4.81</v>
      </c>
      <c r="M483" s="242">
        <v>-10.69</v>
      </c>
      <c r="N483" s="242">
        <v>-9.61</v>
      </c>
      <c r="O483" s="242">
        <v>17.0</v>
      </c>
      <c r="P483" s="242">
        <v>17.79</v>
      </c>
      <c r="Q483" s="242">
        <v>83.95</v>
      </c>
    </row>
    <row r="484">
      <c r="A484" s="242" t="s">
        <v>756</v>
      </c>
      <c r="B484" s="242" t="s">
        <v>765</v>
      </c>
      <c r="C484" s="242" t="s">
        <v>767</v>
      </c>
      <c r="E484" s="242" t="s">
        <v>474</v>
      </c>
      <c r="F484" s="417">
        <v>46108.0</v>
      </c>
      <c r="G484" s="242">
        <v>18.6445</v>
      </c>
      <c r="H484" s="242">
        <v>19.64</v>
      </c>
      <c r="I484" s="242">
        <v>-7.04</v>
      </c>
      <c r="J484" s="242">
        <v>-1.11</v>
      </c>
      <c r="K484" s="242">
        <v>-1.87</v>
      </c>
      <c r="L484" s="242">
        <v>-4.08</v>
      </c>
      <c r="M484" s="242">
        <v>-10.67</v>
      </c>
      <c r="N484" s="242">
        <v>-11.36</v>
      </c>
      <c r="O484" s="242">
        <v>20.02</v>
      </c>
      <c r="P484" s="242">
        <v>24.77</v>
      </c>
      <c r="Q484" s="242">
        <v>81.27</v>
      </c>
    </row>
    <row r="485">
      <c r="A485" s="242" t="s">
        <v>768</v>
      </c>
      <c r="B485" s="242" t="s">
        <v>720</v>
      </c>
      <c r="C485" s="242" t="s">
        <v>769</v>
      </c>
      <c r="E485" s="242" t="s">
        <v>474</v>
      </c>
      <c r="F485" s="417">
        <v>46108.0</v>
      </c>
      <c r="G485" s="242">
        <v>128.6237</v>
      </c>
      <c r="H485" s="242">
        <v>14.86</v>
      </c>
      <c r="I485" s="242">
        <v>10.13</v>
      </c>
      <c r="J485" s="242">
        <v>10.66</v>
      </c>
      <c r="K485" s="242">
        <v>10.46</v>
      </c>
      <c r="L485" s="242">
        <v>10.05</v>
      </c>
      <c r="M485" s="242">
        <v>10.33</v>
      </c>
      <c r="N485" s="242">
        <v>10.64</v>
      </c>
      <c r="O485" s="242">
        <v>10.9</v>
      </c>
      <c r="P485" s="242">
        <v>11.38</v>
      </c>
      <c r="Q485" s="242" t="s">
        <v>474</v>
      </c>
    </row>
    <row r="486">
      <c r="A486" s="242" t="s">
        <v>768</v>
      </c>
      <c r="B486" s="242" t="s">
        <v>720</v>
      </c>
      <c r="C486" s="242" t="s">
        <v>770</v>
      </c>
      <c r="E486" s="242" t="s">
        <v>474</v>
      </c>
      <c r="F486" s="417">
        <v>46107.0</v>
      </c>
      <c r="G486" s="242">
        <v>136.3274</v>
      </c>
      <c r="H486" s="242">
        <v>16.31</v>
      </c>
      <c r="I486" s="242">
        <v>8.71</v>
      </c>
      <c r="J486" s="242">
        <v>9.6</v>
      </c>
      <c r="K486" s="242">
        <v>9.29</v>
      </c>
      <c r="L486" s="242">
        <v>8.61</v>
      </c>
      <c r="M486" s="242">
        <v>8.88</v>
      </c>
      <c r="N486" s="242">
        <v>9.97</v>
      </c>
      <c r="O486" s="242">
        <v>10.01</v>
      </c>
      <c r="P486" s="242">
        <v>10.34</v>
      </c>
      <c r="Q486" s="242">
        <v>15.1</v>
      </c>
    </row>
    <row r="487">
      <c r="A487" s="242" t="s">
        <v>768</v>
      </c>
      <c r="B487" s="242" t="s">
        <v>720</v>
      </c>
      <c r="C487" s="242" t="s">
        <v>771</v>
      </c>
      <c r="E487" s="242" t="s">
        <v>474</v>
      </c>
      <c r="F487" s="417">
        <v>46108.0</v>
      </c>
      <c r="G487" s="242">
        <v>135.8854</v>
      </c>
      <c r="H487" s="242">
        <v>15.71</v>
      </c>
      <c r="I487" s="242">
        <v>9.08</v>
      </c>
      <c r="J487" s="242">
        <v>9.49</v>
      </c>
      <c r="K487" s="242">
        <v>9.23</v>
      </c>
      <c r="L487" s="242">
        <v>9.02</v>
      </c>
      <c r="M487" s="242">
        <v>9.16</v>
      </c>
      <c r="N487" s="242">
        <v>9.54</v>
      </c>
      <c r="O487" s="242">
        <v>9.62</v>
      </c>
      <c r="P487" s="242">
        <v>10.57</v>
      </c>
      <c r="Q487" s="242">
        <v>14.25</v>
      </c>
    </row>
    <row r="488">
      <c r="A488" s="242" t="s">
        <v>768</v>
      </c>
      <c r="B488" s="242" t="s">
        <v>720</v>
      </c>
      <c r="C488" s="242" t="s">
        <v>772</v>
      </c>
      <c r="E488" s="242" t="s">
        <v>474</v>
      </c>
      <c r="F488" s="417">
        <v>46108.0</v>
      </c>
      <c r="G488" s="242">
        <v>135.9631</v>
      </c>
      <c r="H488" s="242">
        <v>15.74</v>
      </c>
      <c r="I488" s="242">
        <v>8.88</v>
      </c>
      <c r="J488" s="242">
        <v>8.4</v>
      </c>
      <c r="K488" s="242">
        <v>9.28</v>
      </c>
      <c r="L488" s="242">
        <v>8.87</v>
      </c>
      <c r="M488" s="242">
        <v>9.31</v>
      </c>
      <c r="N488" s="242">
        <v>10.18</v>
      </c>
      <c r="O488" s="242">
        <v>10.04</v>
      </c>
      <c r="P488" s="242">
        <v>10.25</v>
      </c>
      <c r="Q488" s="242">
        <v>14.37</v>
      </c>
    </row>
    <row r="489">
      <c r="A489" s="242" t="s">
        <v>768</v>
      </c>
      <c r="B489" s="242" t="s">
        <v>720</v>
      </c>
      <c r="C489" s="242" t="s">
        <v>773</v>
      </c>
      <c r="E489" s="242" t="s">
        <v>474</v>
      </c>
      <c r="F489" s="417">
        <v>46108.0</v>
      </c>
      <c r="G489" s="242">
        <v>138.2957</v>
      </c>
      <c r="H489" s="242">
        <v>10.56</v>
      </c>
      <c r="I489" s="242">
        <v>6.0</v>
      </c>
      <c r="J489" s="242">
        <v>6.72</v>
      </c>
      <c r="K489" s="242">
        <v>7.61</v>
      </c>
      <c r="L489" s="242">
        <v>6.98</v>
      </c>
      <c r="M489" s="242">
        <v>8.87</v>
      </c>
      <c r="N489" s="242">
        <v>8.83</v>
      </c>
      <c r="O489" s="242">
        <v>10.14</v>
      </c>
      <c r="P489" s="242">
        <v>10.6</v>
      </c>
      <c r="Q489" s="242">
        <v>15.64</v>
      </c>
    </row>
    <row r="490">
      <c r="A490" s="242" t="s">
        <v>768</v>
      </c>
      <c r="B490" s="242" t="s">
        <v>720</v>
      </c>
      <c r="C490" s="242" t="s">
        <v>774</v>
      </c>
      <c r="E490" s="242" t="s">
        <v>474</v>
      </c>
      <c r="F490" s="417">
        <v>46108.0</v>
      </c>
      <c r="G490" s="242">
        <v>137.4654</v>
      </c>
      <c r="H490" s="242">
        <v>16.38</v>
      </c>
      <c r="I490" s="242">
        <v>8.0</v>
      </c>
      <c r="J490" s="242">
        <v>2.99</v>
      </c>
      <c r="K490" s="242">
        <v>8.63</v>
      </c>
      <c r="L490" s="242">
        <v>8.11</v>
      </c>
      <c r="M490" s="242">
        <v>9.44</v>
      </c>
      <c r="N490" s="242">
        <v>9.67</v>
      </c>
      <c r="O490" s="242">
        <v>9.73</v>
      </c>
      <c r="P490" s="242">
        <v>10.22</v>
      </c>
      <c r="Q490" s="242">
        <v>15.11</v>
      </c>
    </row>
    <row r="491">
      <c r="A491" s="242" t="s">
        <v>768</v>
      </c>
      <c r="B491" s="242" t="s">
        <v>720</v>
      </c>
      <c r="C491" s="242" t="s">
        <v>775</v>
      </c>
      <c r="E491" s="242" t="s">
        <v>474</v>
      </c>
      <c r="F491" s="417">
        <v>46108.0</v>
      </c>
      <c r="G491" s="242">
        <v>138.4117</v>
      </c>
      <c r="H491" s="242">
        <v>16.81</v>
      </c>
      <c r="I491" s="242">
        <v>9.28</v>
      </c>
      <c r="J491" s="242">
        <v>8.94</v>
      </c>
      <c r="K491" s="242">
        <v>9.35</v>
      </c>
      <c r="L491" s="242">
        <v>9.31</v>
      </c>
      <c r="M491" s="242">
        <v>9.58</v>
      </c>
      <c r="N491" s="242">
        <v>10.06</v>
      </c>
      <c r="O491" s="242">
        <v>10.15</v>
      </c>
      <c r="P491" s="242">
        <v>10.61</v>
      </c>
      <c r="Q491" s="242">
        <v>15.34</v>
      </c>
    </row>
    <row r="492">
      <c r="A492" s="242" t="s">
        <v>768</v>
      </c>
      <c r="B492" s="242" t="s">
        <v>720</v>
      </c>
      <c r="C492" s="242" t="s">
        <v>776</v>
      </c>
      <c r="E492" s="242" t="s">
        <v>474</v>
      </c>
      <c r="F492" s="417">
        <v>46110.0</v>
      </c>
      <c r="G492" s="242">
        <v>139.3092</v>
      </c>
      <c r="H492" s="242">
        <v>17.16</v>
      </c>
      <c r="I492" s="242">
        <v>9.55</v>
      </c>
      <c r="J492" s="242">
        <v>10.0</v>
      </c>
      <c r="K492" s="242">
        <v>9.81</v>
      </c>
      <c r="L492" s="242">
        <v>9.56</v>
      </c>
      <c r="M492" s="242">
        <v>9.58</v>
      </c>
      <c r="N492" s="242">
        <v>10.86</v>
      </c>
      <c r="O492" s="242">
        <v>11.62</v>
      </c>
      <c r="P492" s="242">
        <v>11.98</v>
      </c>
      <c r="Q492" s="242">
        <v>15.85</v>
      </c>
    </row>
    <row r="493">
      <c r="A493" s="242" t="s">
        <v>768</v>
      </c>
      <c r="B493" s="242" t="s">
        <v>720</v>
      </c>
      <c r="C493" s="242" t="s">
        <v>777</v>
      </c>
      <c r="E493" s="242" t="s">
        <v>474</v>
      </c>
      <c r="F493" s="417">
        <v>46107.0</v>
      </c>
      <c r="G493" s="242">
        <v>103.0629</v>
      </c>
      <c r="H493" s="242">
        <v>9.32</v>
      </c>
      <c r="I493" s="242">
        <v>8.55</v>
      </c>
      <c r="J493" s="242">
        <v>8.5</v>
      </c>
      <c r="K493" s="242">
        <v>8.53</v>
      </c>
      <c r="L493" s="242">
        <v>8.56</v>
      </c>
      <c r="M493" s="242">
        <v>9.02</v>
      </c>
      <c r="N493" s="242" t="s">
        <v>474</v>
      </c>
      <c r="O493" s="242" t="s">
        <v>474</v>
      </c>
      <c r="P493" s="242" t="s">
        <v>474</v>
      </c>
      <c r="Q493" s="242" t="s">
        <v>474</v>
      </c>
    </row>
    <row r="494">
      <c r="A494" s="242" t="s">
        <v>768</v>
      </c>
      <c r="B494" s="242" t="s">
        <v>720</v>
      </c>
      <c r="C494" s="242" t="s">
        <v>778</v>
      </c>
      <c r="E494" s="242" t="s">
        <v>474</v>
      </c>
      <c r="F494" s="417">
        <v>46093.0</v>
      </c>
      <c r="G494" s="242">
        <v>100.1313</v>
      </c>
      <c r="H494" s="242">
        <v>5.99</v>
      </c>
      <c r="I494" s="242">
        <v>5.99</v>
      </c>
      <c r="J494" s="242">
        <v>5.99</v>
      </c>
      <c r="K494" s="242" t="s">
        <v>474</v>
      </c>
      <c r="L494" s="242" t="s">
        <v>474</v>
      </c>
      <c r="M494" s="242" t="s">
        <v>474</v>
      </c>
      <c r="N494" s="242" t="s">
        <v>474</v>
      </c>
      <c r="O494" s="242" t="s">
        <v>474</v>
      </c>
      <c r="P494" s="242" t="s">
        <v>474</v>
      </c>
      <c r="Q494" s="242" t="s">
        <v>474</v>
      </c>
    </row>
    <row r="495">
      <c r="A495" s="242" t="s">
        <v>768</v>
      </c>
      <c r="B495" s="242" t="s">
        <v>720</v>
      </c>
      <c r="C495" s="242" t="s">
        <v>779</v>
      </c>
      <c r="E495" s="242" t="s">
        <v>474</v>
      </c>
      <c r="F495" s="417">
        <v>46108.0</v>
      </c>
      <c r="G495" s="242">
        <v>103.6114</v>
      </c>
      <c r="H495" s="242">
        <v>10.46</v>
      </c>
      <c r="I495" s="242">
        <v>14.39</v>
      </c>
      <c r="J495" s="242">
        <v>9.93</v>
      </c>
      <c r="K495" s="242">
        <v>10.75</v>
      </c>
      <c r="L495" s="242">
        <v>26.92</v>
      </c>
      <c r="M495" s="242">
        <v>10.75</v>
      </c>
      <c r="N495" s="242" t="s">
        <v>474</v>
      </c>
      <c r="O495" s="242" t="s">
        <v>474</v>
      </c>
      <c r="P495" s="242" t="s">
        <v>474</v>
      </c>
      <c r="Q495" s="242" t="s">
        <v>474</v>
      </c>
    </row>
    <row r="496">
      <c r="A496" s="242" t="s">
        <v>768</v>
      </c>
      <c r="B496" s="242" t="s">
        <v>720</v>
      </c>
      <c r="C496" s="242" t="s">
        <v>780</v>
      </c>
      <c r="E496" s="242" t="s">
        <v>474</v>
      </c>
      <c r="F496" s="417">
        <v>46108.0</v>
      </c>
      <c r="G496" s="242">
        <v>102.362</v>
      </c>
      <c r="H496" s="242">
        <v>9.37</v>
      </c>
      <c r="I496" s="242">
        <v>10.74</v>
      </c>
      <c r="J496" s="242">
        <v>10.66</v>
      </c>
      <c r="K496" s="242">
        <v>10.7</v>
      </c>
      <c r="L496" s="242">
        <v>10.75</v>
      </c>
      <c r="M496" s="242">
        <v>9.58</v>
      </c>
      <c r="N496" s="242" t="s">
        <v>474</v>
      </c>
      <c r="O496" s="242" t="s">
        <v>474</v>
      </c>
      <c r="P496" s="242" t="s">
        <v>474</v>
      </c>
      <c r="Q496" s="242" t="s">
        <v>474</v>
      </c>
    </row>
    <row r="497">
      <c r="A497" s="242" t="s">
        <v>768</v>
      </c>
      <c r="B497" s="242" t="s">
        <v>720</v>
      </c>
      <c r="C497" s="242" t="s">
        <v>781</v>
      </c>
      <c r="E497" s="242" t="s">
        <v>474</v>
      </c>
      <c r="F497" s="417">
        <v>46108.0</v>
      </c>
      <c r="G497" s="242">
        <v>102.8156</v>
      </c>
      <c r="H497" s="242">
        <v>9.43</v>
      </c>
      <c r="I497" s="242">
        <v>7.16</v>
      </c>
      <c r="J497" s="242">
        <v>2.12</v>
      </c>
      <c r="K497" s="242">
        <v>8.49</v>
      </c>
      <c r="L497" s="242">
        <v>7.28</v>
      </c>
      <c r="M497" s="242">
        <v>10.17</v>
      </c>
      <c r="N497" s="242" t="s">
        <v>474</v>
      </c>
      <c r="O497" s="242" t="s">
        <v>474</v>
      </c>
      <c r="P497" s="242" t="s">
        <v>474</v>
      </c>
      <c r="Q497" s="242" t="s">
        <v>474</v>
      </c>
    </row>
    <row r="498">
      <c r="A498" s="242" t="s">
        <v>768</v>
      </c>
      <c r="B498" s="242" t="s">
        <v>720</v>
      </c>
      <c r="C498" s="242" t="s">
        <v>782</v>
      </c>
      <c r="E498" s="242" t="s">
        <v>474</v>
      </c>
      <c r="F498" s="417">
        <v>46108.0</v>
      </c>
      <c r="G498" s="242">
        <v>102.0465</v>
      </c>
      <c r="H498" s="242">
        <v>10.37</v>
      </c>
      <c r="I498" s="242">
        <v>9.92</v>
      </c>
      <c r="J498" s="242">
        <v>9.89</v>
      </c>
      <c r="K498" s="242">
        <v>9.89</v>
      </c>
      <c r="L498" s="242">
        <v>9.93</v>
      </c>
      <c r="M498" s="242" t="s">
        <v>474</v>
      </c>
      <c r="N498" s="242" t="s">
        <v>474</v>
      </c>
      <c r="O498" s="242" t="s">
        <v>474</v>
      </c>
      <c r="P498" s="242" t="s">
        <v>474</v>
      </c>
      <c r="Q498" s="242" t="s">
        <v>474</v>
      </c>
    </row>
    <row r="499">
      <c r="A499" s="242" t="s">
        <v>768</v>
      </c>
      <c r="B499" s="242" t="s">
        <v>720</v>
      </c>
      <c r="C499" s="242" t="s">
        <v>783</v>
      </c>
      <c r="E499" s="242" t="s">
        <v>474</v>
      </c>
      <c r="F499" s="417">
        <v>46108.0</v>
      </c>
      <c r="G499" s="242">
        <v>135.9942</v>
      </c>
      <c r="H499" s="242">
        <v>10.14</v>
      </c>
      <c r="I499" s="242">
        <v>8.91</v>
      </c>
      <c r="J499" s="242">
        <v>8.58</v>
      </c>
      <c r="K499" s="242">
        <v>9.0</v>
      </c>
      <c r="L499" s="242">
        <v>8.93</v>
      </c>
      <c r="M499" s="242">
        <v>9.5</v>
      </c>
      <c r="N499" s="242">
        <v>10.12</v>
      </c>
      <c r="O499" s="242">
        <v>10.14</v>
      </c>
      <c r="P499" s="242">
        <v>10.5</v>
      </c>
      <c r="Q499" s="242">
        <v>14.77</v>
      </c>
    </row>
    <row r="500">
      <c r="A500" s="242" t="s">
        <v>768</v>
      </c>
      <c r="B500" s="242" t="s">
        <v>720</v>
      </c>
      <c r="C500" s="242" t="s">
        <v>784</v>
      </c>
      <c r="E500" s="242" t="s">
        <v>474</v>
      </c>
      <c r="F500" s="417">
        <v>46110.0</v>
      </c>
      <c r="G500" s="242">
        <v>102.6058</v>
      </c>
      <c r="H500" s="242">
        <v>10.01</v>
      </c>
      <c r="I500" s="242">
        <v>12.0</v>
      </c>
      <c r="J500" s="242">
        <v>16.53</v>
      </c>
      <c r="K500" s="242">
        <v>14.7</v>
      </c>
      <c r="L500" s="242">
        <v>11.9</v>
      </c>
      <c r="M500" s="242">
        <v>10.04</v>
      </c>
      <c r="N500" s="242" t="s">
        <v>474</v>
      </c>
      <c r="O500" s="242" t="s">
        <v>474</v>
      </c>
      <c r="P500" s="242" t="s">
        <v>474</v>
      </c>
      <c r="Q500" s="242" t="s">
        <v>474</v>
      </c>
    </row>
    <row r="501">
      <c r="A501" s="242" t="s">
        <v>768</v>
      </c>
      <c r="B501" s="242" t="s">
        <v>735</v>
      </c>
      <c r="C501" s="242" t="s">
        <v>785</v>
      </c>
      <c r="E501" s="242" t="s">
        <v>474</v>
      </c>
      <c r="F501" s="417">
        <v>46108.0</v>
      </c>
      <c r="G501" s="242">
        <v>121.3532</v>
      </c>
      <c r="H501" s="242">
        <v>11.09</v>
      </c>
      <c r="I501" s="242">
        <v>5.6</v>
      </c>
      <c r="J501" s="242">
        <v>11.1</v>
      </c>
      <c r="K501" s="242">
        <v>6.74</v>
      </c>
      <c r="L501" s="242">
        <v>5.66</v>
      </c>
      <c r="M501" s="242">
        <v>7.4</v>
      </c>
      <c r="N501" s="242">
        <v>8.43</v>
      </c>
      <c r="O501" s="242">
        <v>9.13</v>
      </c>
      <c r="P501" s="242">
        <v>9.47</v>
      </c>
      <c r="Q501" s="242" t="s">
        <v>474</v>
      </c>
    </row>
    <row r="502">
      <c r="A502" s="242" t="s">
        <v>768</v>
      </c>
      <c r="B502" s="242" t="s">
        <v>735</v>
      </c>
      <c r="C502" s="242" t="s">
        <v>786</v>
      </c>
      <c r="E502" s="242" t="s">
        <v>474</v>
      </c>
      <c r="F502" s="417">
        <v>46110.0</v>
      </c>
      <c r="G502" s="242">
        <v>131.1812</v>
      </c>
      <c r="H502" s="242">
        <v>13.61</v>
      </c>
      <c r="I502" s="242">
        <v>6.09</v>
      </c>
      <c r="J502" s="242">
        <v>1.06</v>
      </c>
      <c r="K502" s="242">
        <v>3.19</v>
      </c>
      <c r="L502" s="242">
        <v>6.13</v>
      </c>
      <c r="M502" s="242">
        <v>8.17</v>
      </c>
      <c r="N502" s="242">
        <v>9.77</v>
      </c>
      <c r="O502" s="242">
        <v>9.32</v>
      </c>
      <c r="P502" s="242">
        <v>9.12</v>
      </c>
      <c r="Q502" s="242">
        <v>11.94</v>
      </c>
    </row>
    <row r="503">
      <c r="A503" s="242" t="s">
        <v>768</v>
      </c>
      <c r="B503" s="242" t="s">
        <v>735</v>
      </c>
      <c r="C503" s="242" t="s">
        <v>787</v>
      </c>
      <c r="E503" s="242" t="s">
        <v>474</v>
      </c>
      <c r="F503" s="417">
        <v>46107.0</v>
      </c>
      <c r="G503" s="242">
        <v>132.291</v>
      </c>
      <c r="H503" s="242">
        <v>14.5</v>
      </c>
      <c r="I503" s="242">
        <v>2.53</v>
      </c>
      <c r="J503" s="242">
        <v>-6.61</v>
      </c>
      <c r="K503" s="242">
        <v>0.58</v>
      </c>
      <c r="L503" s="242">
        <v>2.94</v>
      </c>
      <c r="M503" s="242">
        <v>6.47</v>
      </c>
      <c r="N503" s="242">
        <v>7.87</v>
      </c>
      <c r="O503" s="242">
        <v>8.52</v>
      </c>
      <c r="P503" s="242">
        <v>9.13</v>
      </c>
      <c r="Q503" s="242">
        <v>13.15</v>
      </c>
    </row>
    <row r="504">
      <c r="A504" s="242" t="s">
        <v>768</v>
      </c>
      <c r="B504" s="242" t="s">
        <v>735</v>
      </c>
      <c r="C504" s="242" t="s">
        <v>788</v>
      </c>
      <c r="E504" s="242" t="s">
        <v>474</v>
      </c>
      <c r="F504" s="417">
        <v>46108.0</v>
      </c>
      <c r="G504" s="242">
        <v>130.6744</v>
      </c>
      <c r="H504" s="242">
        <v>13.42</v>
      </c>
      <c r="I504" s="242">
        <v>2.8</v>
      </c>
      <c r="J504" s="242">
        <v>17.12</v>
      </c>
      <c r="K504" s="242">
        <v>3.8</v>
      </c>
      <c r="L504" s="242">
        <v>3.34</v>
      </c>
      <c r="M504" s="242">
        <v>7.1</v>
      </c>
      <c r="N504" s="242">
        <v>8.28</v>
      </c>
      <c r="O504" s="242">
        <v>8.95</v>
      </c>
      <c r="P504" s="242">
        <v>9.42</v>
      </c>
      <c r="Q504" s="242">
        <v>12.24</v>
      </c>
    </row>
    <row r="505">
      <c r="A505" s="242" t="s">
        <v>768</v>
      </c>
      <c r="B505" s="242" t="s">
        <v>735</v>
      </c>
      <c r="C505" s="242" t="s">
        <v>789</v>
      </c>
      <c r="E505" s="242" t="s">
        <v>474</v>
      </c>
      <c r="F505" s="417">
        <v>46108.0</v>
      </c>
      <c r="G505" s="242">
        <v>136.28</v>
      </c>
      <c r="H505" s="242">
        <v>15.86</v>
      </c>
      <c r="I505" s="242">
        <v>8.99</v>
      </c>
      <c r="J505" s="242">
        <v>10.73</v>
      </c>
      <c r="K505" s="242">
        <v>8.96</v>
      </c>
      <c r="L505" s="242">
        <v>8.99</v>
      </c>
      <c r="M505" s="242">
        <v>9.69</v>
      </c>
      <c r="N505" s="242">
        <v>10.47</v>
      </c>
      <c r="O505" s="242">
        <v>10.13</v>
      </c>
      <c r="P505" s="242">
        <v>10.47</v>
      </c>
      <c r="Q505" s="242">
        <v>14.67</v>
      </c>
    </row>
    <row r="506">
      <c r="A506" s="242" t="s">
        <v>768</v>
      </c>
      <c r="B506" s="242" t="s">
        <v>735</v>
      </c>
      <c r="C506" s="242" t="s">
        <v>790</v>
      </c>
      <c r="E506" s="242" t="s">
        <v>474</v>
      </c>
      <c r="F506" s="417">
        <v>46108.0</v>
      </c>
      <c r="G506" s="242">
        <v>132.0136</v>
      </c>
      <c r="H506" s="242">
        <v>14.11</v>
      </c>
      <c r="I506" s="242">
        <v>8.4</v>
      </c>
      <c r="J506" s="242">
        <v>8.61</v>
      </c>
      <c r="K506" s="242">
        <v>8.63</v>
      </c>
      <c r="L506" s="242">
        <v>8.43</v>
      </c>
      <c r="M506" s="242">
        <v>11.18</v>
      </c>
      <c r="N506" s="242">
        <v>10.41</v>
      </c>
      <c r="O506" s="242">
        <v>9.14</v>
      </c>
      <c r="P506" s="242">
        <v>9.45</v>
      </c>
      <c r="Q506" s="242">
        <v>13.08</v>
      </c>
    </row>
    <row r="507">
      <c r="A507" s="242" t="s">
        <v>768</v>
      </c>
      <c r="B507" s="242" t="s">
        <v>735</v>
      </c>
      <c r="C507" s="242" t="s">
        <v>791</v>
      </c>
      <c r="E507" s="242" t="s">
        <v>474</v>
      </c>
      <c r="F507" s="417">
        <v>46108.0</v>
      </c>
      <c r="G507" s="242">
        <v>132.7315</v>
      </c>
      <c r="H507" s="242">
        <v>14.32</v>
      </c>
      <c r="I507" s="242">
        <v>4.27</v>
      </c>
      <c r="J507" s="242">
        <v>14.86</v>
      </c>
      <c r="K507" s="242">
        <v>4.94</v>
      </c>
      <c r="L507" s="242">
        <v>4.75</v>
      </c>
      <c r="M507" s="242">
        <v>6.99</v>
      </c>
      <c r="N507" s="242">
        <v>8.25</v>
      </c>
      <c r="O507" s="242">
        <v>8.15</v>
      </c>
      <c r="P507" s="242">
        <v>8.09</v>
      </c>
      <c r="Q507" s="242">
        <v>13.29</v>
      </c>
    </row>
    <row r="508">
      <c r="A508" s="242" t="s">
        <v>768</v>
      </c>
      <c r="B508" s="242" t="s">
        <v>735</v>
      </c>
      <c r="C508" s="242" t="s">
        <v>792</v>
      </c>
      <c r="E508" s="242" t="s">
        <v>474</v>
      </c>
      <c r="F508" s="417">
        <v>46108.0</v>
      </c>
      <c r="G508" s="242">
        <v>136.311</v>
      </c>
      <c r="H508" s="242">
        <v>9.98</v>
      </c>
      <c r="I508" s="242">
        <v>8.09</v>
      </c>
      <c r="J508" s="242">
        <v>8.21</v>
      </c>
      <c r="K508" s="242">
        <v>8.0</v>
      </c>
      <c r="L508" s="242">
        <v>8.1</v>
      </c>
      <c r="M508" s="242">
        <v>8.35</v>
      </c>
      <c r="N508" s="242">
        <v>9.03</v>
      </c>
      <c r="O508" s="242">
        <v>9.49</v>
      </c>
      <c r="P508" s="242">
        <v>9.84</v>
      </c>
      <c r="Q508" s="242">
        <v>14.74</v>
      </c>
    </row>
    <row r="509">
      <c r="A509" s="242" t="s">
        <v>768</v>
      </c>
      <c r="B509" s="242" t="s">
        <v>735</v>
      </c>
      <c r="C509" s="242" t="s">
        <v>793</v>
      </c>
      <c r="E509" s="242" t="s">
        <v>474</v>
      </c>
      <c r="F509" s="417">
        <v>46108.0</v>
      </c>
      <c r="G509" s="242">
        <v>103.3934</v>
      </c>
      <c r="H509" s="242">
        <v>9.83</v>
      </c>
      <c r="I509" s="242">
        <v>9.54</v>
      </c>
      <c r="J509" s="242">
        <v>9.82</v>
      </c>
      <c r="K509" s="242">
        <v>9.53</v>
      </c>
      <c r="L509" s="242">
        <v>9.54</v>
      </c>
      <c r="M509" s="242">
        <v>9.68</v>
      </c>
      <c r="N509" s="242" t="s">
        <v>474</v>
      </c>
      <c r="O509" s="242" t="s">
        <v>474</v>
      </c>
      <c r="P509" s="242" t="s">
        <v>474</v>
      </c>
      <c r="Q509" s="242" t="s">
        <v>474</v>
      </c>
    </row>
    <row r="510">
      <c r="A510" s="242" t="s">
        <v>768</v>
      </c>
      <c r="B510" s="242" t="s">
        <v>735</v>
      </c>
      <c r="C510" s="242" t="s">
        <v>794</v>
      </c>
      <c r="E510" s="242" t="s">
        <v>474</v>
      </c>
      <c r="F510" s="417">
        <v>46108.0</v>
      </c>
      <c r="G510" s="242">
        <v>136.4047</v>
      </c>
      <c r="H510" s="242">
        <v>15.93</v>
      </c>
      <c r="I510" s="242">
        <v>8.67</v>
      </c>
      <c r="J510" s="242">
        <v>7.19</v>
      </c>
      <c r="K510" s="242">
        <v>8.48</v>
      </c>
      <c r="L510" s="242">
        <v>8.79</v>
      </c>
      <c r="M510" s="242">
        <v>9.2</v>
      </c>
      <c r="N510" s="242">
        <v>9.65</v>
      </c>
      <c r="O510" s="242">
        <v>9.68</v>
      </c>
      <c r="P510" s="242">
        <v>10.08</v>
      </c>
      <c r="Q510" s="242">
        <v>14.88</v>
      </c>
    </row>
    <row r="511">
      <c r="A511" s="242" t="s">
        <v>768</v>
      </c>
      <c r="B511" s="242" t="s">
        <v>735</v>
      </c>
      <c r="C511" s="242" t="s">
        <v>795</v>
      </c>
      <c r="E511" s="242" t="s">
        <v>474</v>
      </c>
      <c r="F511" s="417">
        <v>46107.0</v>
      </c>
      <c r="G511" s="242">
        <v>101.938</v>
      </c>
      <c r="H511" s="242">
        <v>5.89</v>
      </c>
      <c r="I511" s="242">
        <v>5.68</v>
      </c>
      <c r="J511" s="242">
        <v>5.66</v>
      </c>
      <c r="K511" s="242">
        <v>5.67</v>
      </c>
      <c r="L511" s="242">
        <v>5.69</v>
      </c>
      <c r="M511" s="242">
        <v>5.7</v>
      </c>
      <c r="N511" s="242" t="s">
        <v>474</v>
      </c>
      <c r="O511" s="242" t="s">
        <v>474</v>
      </c>
      <c r="P511" s="242" t="s">
        <v>474</v>
      </c>
      <c r="Q511" s="242" t="s">
        <v>474</v>
      </c>
    </row>
    <row r="512">
      <c r="A512" s="242" t="s">
        <v>768</v>
      </c>
      <c r="B512" s="242" t="s">
        <v>735</v>
      </c>
      <c r="C512" s="242" t="s">
        <v>796</v>
      </c>
      <c r="E512" s="242" t="s">
        <v>474</v>
      </c>
      <c r="F512" s="417">
        <v>46110.0</v>
      </c>
      <c r="G512" s="242">
        <v>101.4779</v>
      </c>
      <c r="H512" s="242">
        <v>5.68</v>
      </c>
      <c r="I512" s="242">
        <v>5.56</v>
      </c>
      <c r="J512" s="242">
        <v>1.39</v>
      </c>
      <c r="K512" s="242">
        <v>5.55</v>
      </c>
      <c r="L512" s="242">
        <v>5.56</v>
      </c>
      <c r="M512" s="242">
        <v>5.51</v>
      </c>
      <c r="N512" s="242" t="s">
        <v>474</v>
      </c>
      <c r="O512" s="242" t="s">
        <v>474</v>
      </c>
      <c r="P512" s="242" t="s">
        <v>474</v>
      </c>
      <c r="Q512" s="242" t="s">
        <v>474</v>
      </c>
    </row>
    <row r="513">
      <c r="A513" s="242" t="s">
        <v>768</v>
      </c>
      <c r="B513" s="242" t="s">
        <v>735</v>
      </c>
      <c r="C513" s="242" t="s">
        <v>797</v>
      </c>
      <c r="E513" s="242" t="s">
        <v>474</v>
      </c>
      <c r="F513" s="417">
        <v>46108.0</v>
      </c>
      <c r="G513" s="242">
        <v>101.8694</v>
      </c>
      <c r="H513" s="242">
        <v>9.75</v>
      </c>
      <c r="I513" s="242">
        <v>9.39</v>
      </c>
      <c r="J513" s="242">
        <v>9.34</v>
      </c>
      <c r="K513" s="242">
        <v>9.35</v>
      </c>
      <c r="L513" s="242">
        <v>10.3</v>
      </c>
      <c r="M513" s="242" t="s">
        <v>474</v>
      </c>
      <c r="N513" s="242" t="s">
        <v>474</v>
      </c>
      <c r="O513" s="242" t="s">
        <v>474</v>
      </c>
      <c r="P513" s="242" t="s">
        <v>474</v>
      </c>
      <c r="Q513" s="242" t="s">
        <v>474</v>
      </c>
    </row>
    <row r="514">
      <c r="A514" s="242" t="s">
        <v>768</v>
      </c>
      <c r="B514" s="242" t="s">
        <v>735</v>
      </c>
      <c r="C514" s="242" t="s">
        <v>798</v>
      </c>
      <c r="E514" s="242" t="s">
        <v>474</v>
      </c>
      <c r="F514" s="417">
        <v>46108.0</v>
      </c>
      <c r="G514" s="242">
        <v>103.202</v>
      </c>
      <c r="H514" s="242">
        <v>9.28</v>
      </c>
      <c r="I514" s="242">
        <v>19.85</v>
      </c>
      <c r="J514" s="242">
        <v>9.09</v>
      </c>
      <c r="K514" s="242">
        <v>9.12</v>
      </c>
      <c r="L514" s="242">
        <v>22.55</v>
      </c>
      <c r="M514" s="242">
        <v>9.1</v>
      </c>
      <c r="N514" s="242" t="s">
        <v>474</v>
      </c>
      <c r="O514" s="242" t="s">
        <v>474</v>
      </c>
      <c r="P514" s="242" t="s">
        <v>474</v>
      </c>
      <c r="Q514" s="242" t="s">
        <v>474</v>
      </c>
    </row>
    <row r="515">
      <c r="A515" s="242" t="s">
        <v>768</v>
      </c>
      <c r="B515" s="242" t="s">
        <v>735</v>
      </c>
      <c r="C515" s="242" t="s">
        <v>799</v>
      </c>
      <c r="E515" s="242" t="s">
        <v>474</v>
      </c>
      <c r="F515" s="417">
        <v>46108.0</v>
      </c>
      <c r="G515" s="242">
        <v>102.8988</v>
      </c>
      <c r="H515" s="242">
        <v>10.48</v>
      </c>
      <c r="I515" s="242">
        <v>10.26</v>
      </c>
      <c r="J515" s="242">
        <v>10.29</v>
      </c>
      <c r="K515" s="242">
        <v>10.26</v>
      </c>
      <c r="L515" s="242">
        <v>10.25</v>
      </c>
      <c r="M515" s="242">
        <v>10.35</v>
      </c>
      <c r="N515" s="242" t="s">
        <v>474</v>
      </c>
      <c r="O515" s="242" t="s">
        <v>474</v>
      </c>
      <c r="P515" s="242" t="s">
        <v>474</v>
      </c>
      <c r="Q515" s="242" t="s">
        <v>474</v>
      </c>
    </row>
    <row r="516">
      <c r="A516" s="242" t="s">
        <v>768</v>
      </c>
      <c r="B516" s="242" t="s">
        <v>735</v>
      </c>
      <c r="C516" s="242" t="s">
        <v>800</v>
      </c>
      <c r="E516" s="242" t="s">
        <v>474</v>
      </c>
      <c r="F516" s="417">
        <v>46108.0</v>
      </c>
      <c r="G516" s="242">
        <v>102.362</v>
      </c>
      <c r="H516" s="242">
        <v>9.37</v>
      </c>
      <c r="I516" s="242">
        <v>10.74</v>
      </c>
      <c r="J516" s="242">
        <v>10.66</v>
      </c>
      <c r="K516" s="242">
        <v>10.7</v>
      </c>
      <c r="L516" s="242">
        <v>10.75</v>
      </c>
      <c r="M516" s="242">
        <v>9.58</v>
      </c>
      <c r="N516" s="242" t="s">
        <v>474</v>
      </c>
      <c r="O516" s="242" t="s">
        <v>474</v>
      </c>
      <c r="P516" s="242" t="s">
        <v>474</v>
      </c>
      <c r="Q516" s="242" t="s">
        <v>474</v>
      </c>
    </row>
    <row r="517">
      <c r="A517" s="242" t="s">
        <v>768</v>
      </c>
      <c r="B517" s="242" t="s">
        <v>735</v>
      </c>
      <c r="C517" s="242" t="s">
        <v>801</v>
      </c>
      <c r="E517" s="242" t="s">
        <v>474</v>
      </c>
      <c r="F517" s="417">
        <v>46108.0</v>
      </c>
      <c r="G517" s="242">
        <v>102.2876</v>
      </c>
      <c r="H517" s="242">
        <v>8.79</v>
      </c>
      <c r="I517" s="242">
        <v>9.07</v>
      </c>
      <c r="J517" s="242">
        <v>8.98</v>
      </c>
      <c r="K517" s="242">
        <v>9.04</v>
      </c>
      <c r="L517" s="242">
        <v>9.07</v>
      </c>
      <c r="M517" s="242">
        <v>8.82</v>
      </c>
      <c r="N517" s="242" t="s">
        <v>474</v>
      </c>
      <c r="O517" s="242" t="s">
        <v>474</v>
      </c>
      <c r="P517" s="242" t="s">
        <v>474</v>
      </c>
      <c r="Q517" s="242" t="s">
        <v>474</v>
      </c>
    </row>
    <row r="518">
      <c r="A518" s="242" t="s">
        <v>768</v>
      </c>
      <c r="B518" s="242" t="s">
        <v>735</v>
      </c>
      <c r="C518" s="242" t="s">
        <v>802</v>
      </c>
      <c r="E518" s="242" t="s">
        <v>474</v>
      </c>
      <c r="F518" s="417">
        <v>46108.0</v>
      </c>
      <c r="G518" s="242">
        <v>135.7347</v>
      </c>
      <c r="H518" s="242">
        <v>15.62</v>
      </c>
      <c r="I518" s="242">
        <v>8.81</v>
      </c>
      <c r="J518" s="242">
        <v>8.83</v>
      </c>
      <c r="K518" s="242">
        <v>8.69</v>
      </c>
      <c r="L518" s="242">
        <v>8.82</v>
      </c>
      <c r="M518" s="242">
        <v>9.07</v>
      </c>
      <c r="N518" s="242">
        <v>9.34</v>
      </c>
      <c r="O518" s="242">
        <v>9.49</v>
      </c>
      <c r="P518" s="242">
        <v>10.09</v>
      </c>
      <c r="Q518" s="242">
        <v>14.24</v>
      </c>
    </row>
    <row r="519">
      <c r="A519" s="242" t="s">
        <v>768</v>
      </c>
      <c r="B519" s="242" t="s">
        <v>735</v>
      </c>
      <c r="C519" s="242" t="s">
        <v>803</v>
      </c>
      <c r="E519" s="242" t="s">
        <v>474</v>
      </c>
      <c r="F519" s="417">
        <v>46108.0</v>
      </c>
      <c r="G519" s="242">
        <v>140.0687</v>
      </c>
      <c r="H519" s="242">
        <v>10.9</v>
      </c>
      <c r="I519" s="242">
        <v>9.76</v>
      </c>
      <c r="J519" s="242">
        <v>16.5</v>
      </c>
      <c r="K519" s="242">
        <v>10.29</v>
      </c>
      <c r="L519" s="242">
        <v>9.69</v>
      </c>
      <c r="M519" s="242">
        <v>10.73</v>
      </c>
      <c r="N519" s="242">
        <v>10.41</v>
      </c>
      <c r="O519" s="242">
        <v>10.9</v>
      </c>
      <c r="P519" s="242">
        <v>10.96</v>
      </c>
      <c r="Q519" s="242">
        <v>16.12</v>
      </c>
    </row>
    <row r="520">
      <c r="A520" s="242" t="s">
        <v>768</v>
      </c>
      <c r="B520" s="242" t="s">
        <v>735</v>
      </c>
      <c r="C520" s="242" t="s">
        <v>804</v>
      </c>
      <c r="E520" s="242" t="s">
        <v>474</v>
      </c>
      <c r="F520" s="417">
        <v>46108.0</v>
      </c>
      <c r="G520" s="242">
        <v>101.7694</v>
      </c>
      <c r="H520" s="242">
        <v>8.97</v>
      </c>
      <c r="I520" s="242">
        <v>10.63</v>
      </c>
      <c r="J520" s="242">
        <v>9.45</v>
      </c>
      <c r="K520" s="242">
        <v>9.52</v>
      </c>
      <c r="L520" s="242">
        <v>10.54</v>
      </c>
      <c r="M520" s="242" t="s">
        <v>474</v>
      </c>
      <c r="N520" s="242" t="s">
        <v>474</v>
      </c>
      <c r="O520" s="242" t="s">
        <v>474</v>
      </c>
      <c r="P520" s="242" t="s">
        <v>474</v>
      </c>
      <c r="Q520" s="242" t="s">
        <v>474</v>
      </c>
    </row>
    <row r="521">
      <c r="A521" s="242" t="s">
        <v>768</v>
      </c>
      <c r="B521" s="242" t="s">
        <v>735</v>
      </c>
      <c r="C521" s="242" t="s">
        <v>805</v>
      </c>
      <c r="E521" s="242" t="s">
        <v>474</v>
      </c>
      <c r="F521" s="417">
        <v>46108.0</v>
      </c>
      <c r="G521" s="242">
        <v>132.0674</v>
      </c>
      <c r="H521" s="242">
        <v>9.27</v>
      </c>
      <c r="I521" s="242">
        <v>8.94</v>
      </c>
      <c r="J521" s="242">
        <v>8.87</v>
      </c>
      <c r="K521" s="242">
        <v>8.84</v>
      </c>
      <c r="L521" s="242">
        <v>8.95</v>
      </c>
      <c r="M521" s="242">
        <v>9.12</v>
      </c>
      <c r="N521" s="242">
        <v>9.97</v>
      </c>
      <c r="O521" s="242">
        <v>9.27</v>
      </c>
      <c r="P521" s="242">
        <v>9.3</v>
      </c>
      <c r="Q521" s="242">
        <v>12.75</v>
      </c>
    </row>
    <row r="522">
      <c r="A522" s="242" t="s">
        <v>768</v>
      </c>
      <c r="B522" s="242" t="s">
        <v>735</v>
      </c>
      <c r="C522" s="242" t="s">
        <v>806</v>
      </c>
      <c r="E522" s="242" t="s">
        <v>474</v>
      </c>
      <c r="F522" s="417">
        <v>46108.0</v>
      </c>
      <c r="G522" s="242">
        <v>101.6212</v>
      </c>
      <c r="H522" s="242">
        <v>5.64</v>
      </c>
      <c r="I522" s="242">
        <v>10.32</v>
      </c>
      <c r="J522" s="242">
        <v>12.59</v>
      </c>
      <c r="K522" s="242">
        <v>11.17</v>
      </c>
      <c r="L522" s="242">
        <v>10.2</v>
      </c>
      <c r="M522" s="242">
        <v>6.05</v>
      </c>
      <c r="N522" s="242" t="s">
        <v>474</v>
      </c>
      <c r="O522" s="242" t="s">
        <v>474</v>
      </c>
      <c r="P522" s="242" t="s">
        <v>474</v>
      </c>
      <c r="Q522" s="242" t="s">
        <v>474</v>
      </c>
    </row>
    <row r="523">
      <c r="A523" s="242" t="s">
        <v>768</v>
      </c>
      <c r="B523" s="242" t="s">
        <v>735</v>
      </c>
      <c r="C523" s="242" t="s">
        <v>807</v>
      </c>
      <c r="D523" s="242"/>
      <c r="E523" s="242" t="s">
        <v>474</v>
      </c>
      <c r="F523" s="417">
        <v>46108.0</v>
      </c>
      <c r="G523" s="242">
        <v>101.6462</v>
      </c>
      <c r="H523" s="242">
        <v>7.8</v>
      </c>
      <c r="I523" s="242">
        <v>4.81</v>
      </c>
      <c r="J523" s="242">
        <v>2.88</v>
      </c>
      <c r="K523" s="242">
        <v>2.59</v>
      </c>
      <c r="L523" s="242">
        <v>5.24</v>
      </c>
      <c r="M523" s="242" t="s">
        <v>474</v>
      </c>
      <c r="N523" s="242" t="s">
        <v>474</v>
      </c>
      <c r="O523" s="242" t="s">
        <v>474</v>
      </c>
      <c r="P523" s="242" t="s">
        <v>474</v>
      </c>
      <c r="Q523" s="242" t="s">
        <v>474</v>
      </c>
    </row>
    <row r="524">
      <c r="A524" s="242" t="s">
        <v>808</v>
      </c>
      <c r="B524" s="242" t="s">
        <v>202</v>
      </c>
      <c r="C524" s="242" t="s">
        <v>457</v>
      </c>
      <c r="D524" s="242" t="s">
        <v>179</v>
      </c>
      <c r="E524" s="242" t="s">
        <v>809</v>
      </c>
      <c r="F524" s="242" t="s">
        <v>458</v>
      </c>
      <c r="G524" s="242" t="s">
        <v>459</v>
      </c>
      <c r="H524" s="242" t="s">
        <v>460</v>
      </c>
      <c r="I524" s="242" t="s">
        <v>461</v>
      </c>
      <c r="J524" s="242" t="s">
        <v>462</v>
      </c>
      <c r="K524" s="242" t="s">
        <v>463</v>
      </c>
      <c r="L524" s="242" t="s">
        <v>464</v>
      </c>
      <c r="M524" s="242" t="s">
        <v>465</v>
      </c>
      <c r="N524" s="242" t="s">
        <v>466</v>
      </c>
      <c r="O524" s="242" t="s">
        <v>467</v>
      </c>
      <c r="P524" s="242" t="s">
        <v>468</v>
      </c>
      <c r="Q524" s="242" t="s">
        <v>469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42.63"/>
    <col customWidth="1" min="3" max="3" width="15.25"/>
    <col customWidth="1" min="4" max="4" width="23.63"/>
    <col customWidth="1" min="7" max="7" width="39.38"/>
    <col customWidth="1" min="8" max="8" width="6.63"/>
  </cols>
  <sheetData>
    <row r="1">
      <c r="C1" s="420">
        <v>1000000.0</v>
      </c>
    </row>
    <row r="2">
      <c r="A2" s="421" t="s">
        <v>810</v>
      </c>
      <c r="C2" s="422"/>
      <c r="D2" s="422"/>
      <c r="E2" s="422"/>
      <c r="G2" s="421" t="s">
        <v>811</v>
      </c>
    </row>
    <row r="3">
      <c r="B3" s="423" t="s">
        <v>812</v>
      </c>
      <c r="G3" s="242" t="s">
        <v>813</v>
      </c>
      <c r="H3" s="386">
        <v>0.1063</v>
      </c>
    </row>
    <row r="4">
      <c r="A4" s="228" t="s">
        <v>814</v>
      </c>
      <c r="B4" s="371" t="s">
        <v>815</v>
      </c>
      <c r="C4" s="371" t="s">
        <v>816</v>
      </c>
      <c r="D4" s="371" t="s">
        <v>817</v>
      </c>
      <c r="G4" s="242" t="s">
        <v>818</v>
      </c>
      <c r="H4" s="386">
        <v>-5.0E-4</v>
      </c>
    </row>
    <row r="5">
      <c r="B5" s="420">
        <f>1238*C1</f>
        <v>1238000000</v>
      </c>
      <c r="C5" s="386">
        <f>H5</f>
        <v>0.1058</v>
      </c>
      <c r="D5" s="424">
        <f>B5*(C5*(90/365))</f>
        <v>32296536.99</v>
      </c>
      <c r="G5" s="242" t="s">
        <v>819</v>
      </c>
      <c r="H5" s="386">
        <f>H3+H4</f>
        <v>0.1058</v>
      </c>
    </row>
    <row r="6">
      <c r="D6" s="387"/>
    </row>
    <row r="8">
      <c r="A8" s="228" t="s">
        <v>820</v>
      </c>
      <c r="B8" s="371" t="s">
        <v>815</v>
      </c>
      <c r="C8" s="371" t="s">
        <v>51</v>
      </c>
      <c r="D8" s="371" t="s">
        <v>821</v>
      </c>
    </row>
    <row r="9">
      <c r="B9" s="424">
        <f>'WoW Positions'!C15</f>
        <v>1300000000</v>
      </c>
      <c r="C9" s="386">
        <v>0.1005</v>
      </c>
      <c r="D9" s="424">
        <f>B9*C9*(30/365)</f>
        <v>10738356.16</v>
      </c>
    </row>
    <row r="10">
      <c r="A10" s="423" t="s">
        <v>822</v>
      </c>
      <c r="B10" s="425"/>
      <c r="C10" s="425"/>
      <c r="D10" s="426">
        <f>D5-D9</f>
        <v>21558180.82</v>
      </c>
    </row>
    <row r="11">
      <c r="G11" s="423" t="s">
        <v>823</v>
      </c>
    </row>
    <row r="12">
      <c r="F12" s="427">
        <f>today()</f>
        <v>46109</v>
      </c>
      <c r="G12" s="242" t="s">
        <v>813</v>
      </c>
      <c r="H12" s="386">
        <v>0.1134</v>
      </c>
    </row>
    <row r="13">
      <c r="B13" s="423" t="s">
        <v>824</v>
      </c>
      <c r="G13" s="242" t="s">
        <v>818</v>
      </c>
      <c r="H13" s="386">
        <v>-5.0E-4</v>
      </c>
    </row>
    <row r="14">
      <c r="G14" s="242" t="s">
        <v>819</v>
      </c>
      <c r="H14" s="386">
        <f>H12+H13</f>
        <v>0.1129</v>
      </c>
    </row>
    <row r="15">
      <c r="B15" s="228" t="s">
        <v>815</v>
      </c>
      <c r="C15" s="228" t="s">
        <v>816</v>
      </c>
      <c r="D15" s="228" t="s">
        <v>825</v>
      </c>
    </row>
    <row r="16">
      <c r="B16" s="420">
        <f>B5</f>
        <v>1238000000</v>
      </c>
      <c r="C16" s="386">
        <f>H14</f>
        <v>0.1129</v>
      </c>
      <c r="D16" s="424">
        <f>B16*(C16*(90/365))</f>
        <v>34463884.93</v>
      </c>
    </row>
    <row r="18">
      <c r="B18" s="228" t="s">
        <v>826</v>
      </c>
      <c r="D18" s="424">
        <f>D16-D5</f>
        <v>2167347.945</v>
      </c>
    </row>
    <row r="20">
      <c r="B20" s="428"/>
    </row>
    <row r="22">
      <c r="A22" s="242" t="s">
        <v>827</v>
      </c>
      <c r="B22" s="228" t="s">
        <v>828</v>
      </c>
      <c r="C22" s="428"/>
      <c r="D22" s="228" t="s">
        <v>829</v>
      </c>
    </row>
    <row r="23">
      <c r="B23" s="242" t="s">
        <v>830</v>
      </c>
      <c r="C23" s="424">
        <f>B5</f>
        <v>1238000000</v>
      </c>
      <c r="D23" s="242" t="s">
        <v>831</v>
      </c>
      <c r="E23" s="424">
        <f>B9</f>
        <v>1300000000</v>
      </c>
    </row>
    <row r="24">
      <c r="B24" s="242" t="s">
        <v>816</v>
      </c>
      <c r="C24" s="125">
        <f>C5</f>
        <v>0.1058</v>
      </c>
      <c r="D24" s="242" t="s">
        <v>51</v>
      </c>
      <c r="E24" s="386">
        <v>0.1005</v>
      </c>
    </row>
    <row r="25">
      <c r="B25" s="228" t="s">
        <v>832</v>
      </c>
      <c r="C25" s="429">
        <f>C23*C24</f>
        <v>130980400</v>
      </c>
      <c r="D25" s="242" t="s">
        <v>64</v>
      </c>
      <c r="E25" s="424">
        <f>E23*E24</f>
        <v>130650000</v>
      </c>
    </row>
    <row r="26">
      <c r="B26" s="228" t="s">
        <v>833</v>
      </c>
      <c r="D26" s="242" t="s">
        <v>834</v>
      </c>
      <c r="E26" s="384">
        <v>0.2</v>
      </c>
    </row>
    <row r="27">
      <c r="B27" s="242" t="s">
        <v>51</v>
      </c>
      <c r="C27" s="384">
        <v>0.39</v>
      </c>
      <c r="D27" s="242" t="s">
        <v>835</v>
      </c>
      <c r="E27" s="424">
        <f>E25*(1-E26)</f>
        <v>104520000</v>
      </c>
      <c r="F27" s="384"/>
    </row>
    <row r="28">
      <c r="B28" s="228" t="s">
        <v>836</v>
      </c>
      <c r="C28" s="429">
        <f>C25*C27</f>
        <v>51082356</v>
      </c>
    </row>
    <row r="29">
      <c r="B29" s="242" t="s">
        <v>837</v>
      </c>
    </row>
    <row r="30">
      <c r="B30" s="228" t="s">
        <v>838</v>
      </c>
      <c r="C30" s="429">
        <f>C25*(1-C27)</f>
        <v>79898044</v>
      </c>
    </row>
    <row r="31">
      <c r="B31" s="242" t="s">
        <v>839</v>
      </c>
      <c r="C31" s="125">
        <f>C24</f>
        <v>0.1058</v>
      </c>
    </row>
    <row r="32">
      <c r="B32" s="242" t="s">
        <v>840</v>
      </c>
      <c r="C32" s="125">
        <f>C30/C23</f>
        <v>0.064538</v>
      </c>
    </row>
    <row r="33">
      <c r="B33" s="430" t="s">
        <v>841</v>
      </c>
      <c r="E33" s="424">
        <f>E25-C25</f>
        <v>-330400</v>
      </c>
    </row>
    <row r="34">
      <c r="B34" s="430" t="s">
        <v>842</v>
      </c>
      <c r="C34" s="386"/>
      <c r="E34" s="424">
        <f>E27-C25</f>
        <v>-26460400</v>
      </c>
    </row>
    <row r="35">
      <c r="C35" s="424"/>
    </row>
    <row r="36">
      <c r="B36" s="405" t="s">
        <v>843</v>
      </c>
      <c r="F36" s="418"/>
    </row>
    <row r="37">
      <c r="B37" s="431" t="s">
        <v>844</v>
      </c>
    </row>
    <row r="38">
      <c r="F38" s="125"/>
    </row>
    <row r="40">
      <c r="B40" s="242" t="s">
        <v>845</v>
      </c>
    </row>
    <row r="41">
      <c r="B41" s="124" t="str">
        <f t="shared" ref="B41:C41" si="1">B23</f>
        <v>Facility Amount - (Drawdown)</v>
      </c>
      <c r="C41" s="424">
        <f t="shared" si="1"/>
        <v>1238000000</v>
      </c>
    </row>
    <row r="42">
      <c r="B42" s="242" t="s">
        <v>846</v>
      </c>
      <c r="C42" s="424">
        <f>C41*C24*(2/365)</f>
        <v>717700.8219</v>
      </c>
    </row>
    <row r="43">
      <c r="B43" s="228" t="s">
        <v>847</v>
      </c>
      <c r="C43" s="429">
        <f>C41+C42</f>
        <v>1238717701</v>
      </c>
    </row>
  </sheetData>
  <mergeCells count="2">
    <mergeCell ref="A2:B2"/>
    <mergeCell ref="G2:H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5.25"/>
    <col customWidth="1" min="3" max="3" width="16.0"/>
    <col customWidth="1" min="4" max="4" width="16.25"/>
    <col customWidth="1" min="5" max="5" width="14.0"/>
    <col customWidth="1" min="6" max="6" width="22.75"/>
    <col customWidth="1" min="7" max="7" width="16.63"/>
    <col customWidth="1" min="9" max="9" width="13.75"/>
    <col customWidth="1" min="10" max="10" width="13.5"/>
  </cols>
  <sheetData>
    <row r="2">
      <c r="B2" s="432" t="s">
        <v>848</v>
      </c>
    </row>
    <row r="3">
      <c r="B3" s="429" t="s">
        <v>849</v>
      </c>
      <c r="C3" s="424"/>
    </row>
    <row r="4">
      <c r="B4" s="424" t="s">
        <v>850</v>
      </c>
      <c r="C4" s="125">
        <v>0.1025</v>
      </c>
      <c r="D4" s="431" t="s">
        <v>851</v>
      </c>
    </row>
    <row r="5">
      <c r="B5" s="424" t="s">
        <v>852</v>
      </c>
      <c r="C5" s="125">
        <v>0.115</v>
      </c>
      <c r="D5" s="431" t="s">
        <v>851</v>
      </c>
    </row>
    <row r="6">
      <c r="B6" s="424" t="s">
        <v>853</v>
      </c>
      <c r="C6" s="125">
        <v>0.15</v>
      </c>
    </row>
    <row r="7">
      <c r="L7" s="433"/>
      <c r="M7" s="433" t="s">
        <v>854</v>
      </c>
    </row>
    <row r="8">
      <c r="B8" s="434" t="s">
        <v>855</v>
      </c>
      <c r="C8" s="434" t="s">
        <v>815</v>
      </c>
      <c r="D8" s="434" t="s">
        <v>51</v>
      </c>
      <c r="E8" s="434" t="s">
        <v>856</v>
      </c>
      <c r="F8" s="434" t="s">
        <v>857</v>
      </c>
      <c r="G8" s="434" t="s">
        <v>858</v>
      </c>
      <c r="H8" s="434" t="s">
        <v>859</v>
      </c>
      <c r="I8" s="434" t="s">
        <v>8</v>
      </c>
      <c r="J8" s="434" t="s">
        <v>194</v>
      </c>
      <c r="K8" s="434" t="s">
        <v>860</v>
      </c>
      <c r="L8" s="434" t="s">
        <v>195</v>
      </c>
      <c r="M8" s="434" t="s">
        <v>861</v>
      </c>
      <c r="N8" s="434" t="s">
        <v>862</v>
      </c>
      <c r="O8" s="434" t="s">
        <v>863</v>
      </c>
    </row>
    <row r="9">
      <c r="B9" s="242" t="s">
        <v>864</v>
      </c>
      <c r="C9" s="424">
        <f>'WoW Positions'!C9</f>
        <v>1312778062</v>
      </c>
      <c r="D9" s="386">
        <v>0.1055</v>
      </c>
      <c r="E9" s="435">
        <v>46072.0</v>
      </c>
      <c r="F9" s="436">
        <f t="shared" ref="F9:F10" si="1">E9+364</f>
        <v>46436</v>
      </c>
      <c r="G9" s="427">
        <f t="shared" ref="G9:G10" si="2">today()</f>
        <v>46109</v>
      </c>
      <c r="H9" s="124">
        <f t="shared" ref="H9:H10" si="3">G9-E9</f>
        <v>37</v>
      </c>
      <c r="I9" s="124">
        <f t="shared" ref="I9:I10" si="4">F9-G9</f>
        <v>327</v>
      </c>
      <c r="J9" s="424">
        <f t="shared" ref="J9:J10" si="5">C9*D9*H9/365</f>
        <v>14039531.96</v>
      </c>
      <c r="K9" s="424">
        <f t="shared" ref="K9:K10" si="6">J9+C9</f>
        <v>1326817594</v>
      </c>
      <c r="L9" s="420">
        <f t="shared" ref="L9:L10" si="7">C9+C9*(D9*(I9/365))</f>
        <v>1436857169</v>
      </c>
      <c r="M9" s="386">
        <v>0.1025</v>
      </c>
      <c r="N9" s="424">
        <f t="shared" ref="N9:N10" si="8">C9+(C9*(M9*I9/365))</f>
        <v>1433328853</v>
      </c>
      <c r="O9" s="424">
        <f t="shared" ref="O9:O10" si="9">N9-L9</f>
        <v>-3528315.832</v>
      </c>
    </row>
    <row r="10">
      <c r="B10" s="242" t="s">
        <v>864</v>
      </c>
      <c r="C10" s="424">
        <f>'WoW Positions'!C10</f>
        <v>384022350</v>
      </c>
      <c r="D10" s="386">
        <v>0.107</v>
      </c>
      <c r="E10" s="435">
        <v>46086.0</v>
      </c>
      <c r="F10" s="436">
        <f t="shared" si="1"/>
        <v>46450</v>
      </c>
      <c r="G10" s="427">
        <f t="shared" si="2"/>
        <v>46109</v>
      </c>
      <c r="H10" s="124">
        <f t="shared" si="3"/>
        <v>23</v>
      </c>
      <c r="I10" s="124">
        <f t="shared" si="4"/>
        <v>341</v>
      </c>
      <c r="J10" s="424">
        <f t="shared" si="5"/>
        <v>2589257.543</v>
      </c>
      <c r="K10" s="424">
        <f t="shared" si="6"/>
        <v>386611607.5</v>
      </c>
      <c r="L10" s="420">
        <f t="shared" si="7"/>
        <v>422410907.5</v>
      </c>
      <c r="M10" s="386">
        <v>0.1045</v>
      </c>
      <c r="N10" s="424">
        <f t="shared" si="8"/>
        <v>421513978.6</v>
      </c>
      <c r="O10" s="424">
        <f t="shared" si="9"/>
        <v>-896928.9134</v>
      </c>
    </row>
    <row r="11">
      <c r="O11" s="424">
        <f>SUM(O9:O10)</f>
        <v>-4425244.746</v>
      </c>
    </row>
    <row r="13">
      <c r="B13" s="228" t="s">
        <v>865</v>
      </c>
    </row>
    <row r="14">
      <c r="B14" s="434" t="s">
        <v>855</v>
      </c>
      <c r="C14" s="434" t="s">
        <v>866</v>
      </c>
      <c r="D14" s="434" t="s">
        <v>862</v>
      </c>
      <c r="E14" s="434" t="s">
        <v>194</v>
      </c>
      <c r="F14" s="434" t="s">
        <v>867</v>
      </c>
      <c r="G14" s="434" t="s">
        <v>868</v>
      </c>
      <c r="H14" s="434" t="s">
        <v>834</v>
      </c>
      <c r="I14" s="434" t="s">
        <v>397</v>
      </c>
      <c r="J14" s="434" t="s">
        <v>869</v>
      </c>
      <c r="K14" s="428"/>
      <c r="L14" s="437"/>
      <c r="M14" s="437"/>
      <c r="N14" s="428"/>
    </row>
    <row r="15">
      <c r="B15" s="124" t="str">
        <f t="shared" ref="B15:C15" si="10">B9</f>
        <v>MTB (1Yr)</v>
      </c>
      <c r="C15" s="424">
        <f t="shared" si="10"/>
        <v>1312778062</v>
      </c>
      <c r="D15" s="424">
        <f t="shared" ref="D15:D16" si="12">N9</f>
        <v>1433328853</v>
      </c>
      <c r="E15" s="424">
        <f t="shared" ref="E15:E16" si="13">J9</f>
        <v>14039531.96</v>
      </c>
      <c r="F15" s="424">
        <f t="shared" ref="F15:F16" si="14">E15+D15</f>
        <v>1447368385</v>
      </c>
      <c r="G15" s="424">
        <f t="shared" ref="G15:G16" si="15">D15-C15</f>
        <v>120550790.9</v>
      </c>
      <c r="H15" s="125">
        <f>C6</f>
        <v>0.15</v>
      </c>
      <c r="I15" s="242">
        <v>0.0</v>
      </c>
      <c r="J15" s="424">
        <f t="shared" ref="J15:J16" si="16">F15+I15</f>
        <v>1447368385</v>
      </c>
    </row>
    <row r="16">
      <c r="B16" s="124" t="str">
        <f t="shared" ref="B16:C16" si="11">B10</f>
        <v>MTB (1Yr)</v>
      </c>
      <c r="C16" s="424">
        <f t="shared" si="11"/>
        <v>384022350</v>
      </c>
      <c r="D16" s="424">
        <f t="shared" si="12"/>
        <v>421513978.6</v>
      </c>
      <c r="E16" s="424">
        <f t="shared" si="13"/>
        <v>2589257.543</v>
      </c>
      <c r="F16" s="424">
        <f t="shared" si="14"/>
        <v>424103236.1</v>
      </c>
      <c r="G16" s="424">
        <f t="shared" si="15"/>
        <v>37491628.58</v>
      </c>
      <c r="H16" s="125">
        <f>H15</f>
        <v>0.15</v>
      </c>
      <c r="I16" s="242">
        <v>0.0</v>
      </c>
      <c r="J16" s="424">
        <f t="shared" si="16"/>
        <v>424103236.1</v>
      </c>
    </row>
    <row r="17">
      <c r="J17" s="424">
        <f>SUM(J15:J16)</f>
        <v>1871471621</v>
      </c>
    </row>
    <row r="18">
      <c r="B18" s="423" t="s">
        <v>870</v>
      </c>
    </row>
    <row r="19">
      <c r="B19" s="431" t="s">
        <v>871</v>
      </c>
    </row>
    <row r="21">
      <c r="B21" s="228" t="s">
        <v>872</v>
      </c>
    </row>
    <row r="22">
      <c r="B22" s="228" t="s">
        <v>855</v>
      </c>
      <c r="C22" s="228" t="s">
        <v>873</v>
      </c>
      <c r="D22" s="228" t="s">
        <v>852</v>
      </c>
      <c r="E22" s="228" t="str">
        <f>I8</f>
        <v>Days to Maturity</v>
      </c>
      <c r="F22" s="228" t="s">
        <v>874</v>
      </c>
      <c r="G22" s="228" t="s">
        <v>875</v>
      </c>
      <c r="H22" s="228" t="s">
        <v>876</v>
      </c>
      <c r="I22" s="228" t="s">
        <v>877</v>
      </c>
    </row>
    <row r="23">
      <c r="B23" s="124" t="str">
        <f>B15</f>
        <v>MTB (1Yr)</v>
      </c>
      <c r="C23" s="424">
        <f>J17</f>
        <v>1871471621</v>
      </c>
      <c r="D23" s="125">
        <f>C5</f>
        <v>0.115</v>
      </c>
      <c r="E23" s="242">
        <v>365.0</v>
      </c>
      <c r="F23" s="387">
        <f>C23*D23*(E23/365)</f>
        <v>215219236.4</v>
      </c>
      <c r="G23" s="125">
        <f>SUMPRODUCT(C9:C10,D9:D10)/sum(C9:C10)</f>
        <v>0.1058394822</v>
      </c>
      <c r="H23" s="125">
        <f>D23-G23</f>
        <v>0.009160517807</v>
      </c>
      <c r="I23" s="424">
        <f>H23*C23</f>
        <v>17143649.11</v>
      </c>
    </row>
    <row r="25">
      <c r="B25" s="228" t="s">
        <v>878</v>
      </c>
      <c r="C25" s="424">
        <f>O9+O10+I23</f>
        <v>12718404.36</v>
      </c>
    </row>
  </sheetData>
  <mergeCells count="3">
    <mergeCell ref="B2:P2"/>
    <mergeCell ref="M7:O7"/>
    <mergeCell ref="O8:P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75.5"/>
    <col customWidth="1" min="3" max="3" width="14.5"/>
    <col customWidth="1" min="4" max="26" width="12.5"/>
  </cols>
  <sheetData>
    <row r="1" ht="15.75" customHeight="1"/>
    <row r="2" ht="15.75" customHeight="1">
      <c r="B2" s="438" t="s">
        <v>879</v>
      </c>
      <c r="C2" s="438" t="s">
        <v>880</v>
      </c>
      <c r="D2" s="438" t="s">
        <v>51</v>
      </c>
      <c r="E2" s="438" t="s">
        <v>881</v>
      </c>
      <c r="F2" s="438" t="s">
        <v>882</v>
      </c>
      <c r="G2" s="2"/>
    </row>
    <row r="3" ht="15.75" customHeight="1">
      <c r="B3" s="2" t="s">
        <v>883</v>
      </c>
      <c r="C3" s="439">
        <v>7.61904762E8</v>
      </c>
      <c r="D3" s="31">
        <v>-0.1045</v>
      </c>
      <c r="E3" s="117">
        <v>365.0</v>
      </c>
      <c r="F3" s="439">
        <f t="shared" ref="F3:F5" si="1">C3*D3*E3/365</f>
        <v>-79619047.63</v>
      </c>
      <c r="G3" s="2"/>
    </row>
    <row r="4" ht="15.75" customHeight="1">
      <c r="B4" s="2" t="s">
        <v>884</v>
      </c>
      <c r="C4" s="439">
        <f>C3*1.05</f>
        <v>800000000.1</v>
      </c>
      <c r="D4" s="31">
        <v>0.1005</v>
      </c>
      <c r="E4" s="117">
        <v>365.0</v>
      </c>
      <c r="F4" s="439">
        <f t="shared" si="1"/>
        <v>80400000.01</v>
      </c>
      <c r="G4" s="2"/>
    </row>
    <row r="5" ht="15.75" customHeight="1">
      <c r="B5" s="2" t="s">
        <v>133</v>
      </c>
      <c r="C5" s="439">
        <f>C3</f>
        <v>761904762</v>
      </c>
      <c r="D5" s="31">
        <v>0.1075</v>
      </c>
      <c r="E5" s="117">
        <v>365.0</v>
      </c>
      <c r="F5" s="439">
        <f t="shared" si="1"/>
        <v>81904761.92</v>
      </c>
      <c r="G5" s="2"/>
    </row>
    <row r="6" ht="15.75" customHeight="1">
      <c r="B6" s="2"/>
      <c r="C6" s="2"/>
      <c r="D6" s="2"/>
      <c r="E6" s="2"/>
      <c r="F6" s="440">
        <f>F5+F4+F3</f>
        <v>82685714.3</v>
      </c>
      <c r="G6" s="2"/>
    </row>
    <row r="7" ht="15.75" customHeight="1">
      <c r="B7" s="2"/>
      <c r="C7" s="441" t="s">
        <v>885</v>
      </c>
      <c r="D7" s="441" t="s">
        <v>886</v>
      </c>
      <c r="E7" s="441" t="s">
        <v>887</v>
      </c>
      <c r="F7" s="23"/>
      <c r="G7" s="2"/>
    </row>
    <row r="8" ht="15.75" customHeight="1">
      <c r="B8" s="1" t="s">
        <v>834</v>
      </c>
      <c r="C8" s="442">
        <v>0.39</v>
      </c>
      <c r="D8" s="442">
        <v>0.32</v>
      </c>
      <c r="E8" s="2"/>
      <c r="F8" s="23"/>
      <c r="G8" s="2"/>
    </row>
    <row r="9" ht="15.75" customHeight="1">
      <c r="B9" s="1" t="s">
        <v>888</v>
      </c>
      <c r="C9" s="439">
        <f>F4*(1-C8)</f>
        <v>49044000.01</v>
      </c>
      <c r="D9" s="439">
        <f>F6*(1-D8)</f>
        <v>56226285.72</v>
      </c>
      <c r="E9" s="439"/>
      <c r="F9" s="2"/>
      <c r="G9" s="2"/>
    </row>
    <row r="10" ht="15.75" customHeight="1">
      <c r="B10" s="1" t="s">
        <v>889</v>
      </c>
      <c r="C10" s="31">
        <f>C9/C4/(1-C8)</f>
        <v>0.1005</v>
      </c>
      <c r="D10" s="31">
        <f>F6/C5</f>
        <v>0.108525</v>
      </c>
      <c r="E10" s="2"/>
      <c r="F10" s="2"/>
      <c r="G10" s="2"/>
    </row>
    <row r="11" ht="15.75" customHeight="1">
      <c r="B11" s="1" t="s">
        <v>890</v>
      </c>
      <c r="C11" s="31">
        <f>C9/(C4*365/E3)</f>
        <v>0.061305</v>
      </c>
      <c r="D11" s="31">
        <f>D9/C4*365/E3</f>
        <v>0.07028285714</v>
      </c>
      <c r="E11" s="443">
        <f>D11-C11</f>
        <v>0.008977857143</v>
      </c>
      <c r="F11" s="2"/>
      <c r="G11" s="2"/>
    </row>
    <row r="12" ht="15.75" customHeight="1">
      <c r="B12" s="2"/>
      <c r="C12" s="2"/>
      <c r="D12" s="2"/>
      <c r="E12" s="2"/>
      <c r="F12" s="2"/>
      <c r="G12" s="2"/>
    </row>
    <row r="13" ht="15.75" customHeight="1">
      <c r="B13" s="444" t="s">
        <v>891</v>
      </c>
      <c r="C13" s="5"/>
      <c r="D13" s="2"/>
      <c r="E13" s="2"/>
      <c r="F13" s="2"/>
      <c r="G13" s="2"/>
    </row>
    <row r="14" ht="15.75" customHeight="1">
      <c r="B14" s="2"/>
      <c r="C14" s="5"/>
      <c r="D14" s="2"/>
      <c r="E14" s="2"/>
      <c r="F14" s="2"/>
      <c r="G14" s="2"/>
    </row>
    <row r="15" ht="15.75" customHeight="1">
      <c r="B15" s="445" t="s">
        <v>892</v>
      </c>
      <c r="C15" s="446"/>
      <c r="D15" s="446"/>
      <c r="E15" s="446"/>
      <c r="F15" s="121"/>
      <c r="G15" s="2"/>
    </row>
    <row r="16" ht="15.75" customHeight="1">
      <c r="B16" s="2" t="s">
        <v>893</v>
      </c>
      <c r="C16" s="439">
        <f>C4</f>
        <v>800000000.1</v>
      </c>
      <c r="D16" s="2"/>
      <c r="E16" s="2"/>
      <c r="F16" s="2"/>
      <c r="G16" s="2"/>
    </row>
    <row r="17" ht="15.75" customHeight="1">
      <c r="B17" s="2" t="s">
        <v>894</v>
      </c>
      <c r="C17" s="31">
        <v>0.1005</v>
      </c>
      <c r="D17" s="2"/>
      <c r="E17" s="2" t="s">
        <v>159</v>
      </c>
      <c r="F17" s="447">
        <v>46051.0</v>
      </c>
      <c r="G17" s="2"/>
    </row>
    <row r="18" ht="15.75" customHeight="1">
      <c r="B18" s="2" t="s">
        <v>895</v>
      </c>
      <c r="C18" s="117">
        <f>F19</f>
        <v>31</v>
      </c>
      <c r="D18" s="2"/>
      <c r="E18" s="2" t="s">
        <v>896</v>
      </c>
      <c r="F18" s="447">
        <v>46020.0</v>
      </c>
      <c r="G18" s="2"/>
    </row>
    <row r="19" ht="15.75" customHeight="1">
      <c r="B19" s="2" t="s">
        <v>897</v>
      </c>
      <c r="C19" s="439">
        <f>C16*((C17*C18)/365)</f>
        <v>6828493.152</v>
      </c>
      <c r="D19" s="2"/>
      <c r="E19" s="2"/>
      <c r="F19" s="117">
        <f>F17-F18</f>
        <v>31</v>
      </c>
      <c r="G19" s="2"/>
    </row>
    <row r="20" ht="15.75" customHeight="1">
      <c r="B20" s="2" t="s">
        <v>898</v>
      </c>
      <c r="C20" s="439">
        <f>C19*0.2</f>
        <v>1365698.63</v>
      </c>
      <c r="D20" s="2"/>
      <c r="E20" s="2"/>
      <c r="F20" s="2"/>
      <c r="G20" s="2"/>
    </row>
    <row r="21" ht="15.75" customHeight="1">
      <c r="B21" s="2" t="s">
        <v>899</v>
      </c>
      <c r="C21" s="439">
        <f>C19*0.8</f>
        <v>5462794.521</v>
      </c>
      <c r="D21" s="2"/>
      <c r="E21" s="2"/>
      <c r="F21" s="2"/>
      <c r="G21" s="2"/>
    </row>
    <row r="22" ht="15.75" customHeight="1">
      <c r="B22" s="2" t="s">
        <v>900</v>
      </c>
      <c r="C22" s="439">
        <f>C21/2</f>
        <v>2731397.261</v>
      </c>
      <c r="D22" s="2"/>
      <c r="E22" s="2"/>
      <c r="F22" s="2"/>
      <c r="G22" s="2"/>
    </row>
    <row r="23" ht="15.75" customHeight="1">
      <c r="B23" s="2"/>
      <c r="C23" s="2"/>
      <c r="D23" s="2"/>
      <c r="E23" s="2"/>
      <c r="F23" s="2"/>
      <c r="G23" s="2"/>
    </row>
    <row r="24" ht="15.75" customHeight="1">
      <c r="B24" s="2" t="s">
        <v>870</v>
      </c>
      <c r="C24" s="2"/>
      <c r="D24" s="2"/>
      <c r="E24" s="2"/>
      <c r="F24" s="2"/>
      <c r="G24" s="2"/>
    </row>
    <row r="25" ht="15.75" customHeight="1">
      <c r="B25" s="26" t="s">
        <v>901</v>
      </c>
      <c r="C25" s="2"/>
      <c r="D25" s="2"/>
      <c r="E25" s="2"/>
      <c r="F25" s="2"/>
      <c r="G25" s="2"/>
    </row>
    <row r="26" ht="15.75" customHeight="1">
      <c r="B26" s="2"/>
      <c r="C26" s="2"/>
      <c r="D26" s="2"/>
      <c r="E26" s="2"/>
      <c r="F26" s="2"/>
      <c r="G26" s="2"/>
    </row>
    <row r="27" ht="15.75" customHeight="1">
      <c r="B27" s="2"/>
      <c r="C27" s="2"/>
      <c r="D27" s="2"/>
      <c r="E27" s="2"/>
      <c r="F27" s="2"/>
      <c r="G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F15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3" width="14.5"/>
    <col customWidth="1" min="4" max="5" width="12.5"/>
    <col customWidth="1" min="6" max="6" width="15.5"/>
    <col customWidth="1" min="7" max="8" width="12.5"/>
    <col customWidth="1" min="9" max="9" width="15.88"/>
    <col customWidth="1" min="10" max="10" width="15.5"/>
    <col customWidth="1" min="11" max="27" width="12.5"/>
  </cols>
  <sheetData>
    <row r="1" ht="15.75" customHeight="1">
      <c r="A1" s="13"/>
      <c r="B1" s="448" t="s">
        <v>902</v>
      </c>
      <c r="C1" s="449">
        <v>1.0E9</v>
      </c>
      <c r="D1" s="13"/>
      <c r="E1" s="13"/>
      <c r="F1" s="13"/>
      <c r="G1" s="13"/>
      <c r="H1" s="13"/>
      <c r="I1" s="13"/>
      <c r="J1" s="13"/>
      <c r="K1" s="1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3"/>
      <c r="B2" s="448" t="s">
        <v>903</v>
      </c>
      <c r="C2" s="450">
        <v>0.1025</v>
      </c>
      <c r="D2" s="13"/>
      <c r="E2" s="13"/>
      <c r="F2" s="13"/>
      <c r="G2" s="13"/>
      <c r="H2" s="13"/>
      <c r="I2" s="13"/>
      <c r="J2" s="13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13"/>
      <c r="B3" s="448" t="s">
        <v>904</v>
      </c>
      <c r="C3" s="450">
        <v>0.1024</v>
      </c>
      <c r="D3" s="13"/>
      <c r="E3" s="13"/>
      <c r="J3" s="13"/>
      <c r="K3" s="1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13"/>
      <c r="B4" s="448" t="s">
        <v>905</v>
      </c>
      <c r="C4" s="450">
        <v>0.107</v>
      </c>
      <c r="D4" s="13"/>
      <c r="E4" s="13"/>
      <c r="J4" s="13"/>
      <c r="K4" s="1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13"/>
      <c r="B5" s="448" t="s">
        <v>906</v>
      </c>
      <c r="C5" s="449">
        <v>5.0E8</v>
      </c>
      <c r="D5" s="449"/>
      <c r="E5" s="449"/>
      <c r="J5" s="13"/>
      <c r="K5" s="1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3"/>
      <c r="B6" s="448" t="s">
        <v>132</v>
      </c>
      <c r="C6" s="449">
        <v>3.0E8</v>
      </c>
      <c r="D6" s="13"/>
      <c r="E6" s="13"/>
      <c r="J6" s="13"/>
      <c r="K6" s="1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3"/>
      <c r="B7" s="448" t="s">
        <v>907</v>
      </c>
      <c r="C7" s="449">
        <v>2.0E8</v>
      </c>
      <c r="D7" s="13"/>
      <c r="E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3"/>
      <c r="B8" s="448" t="s">
        <v>180</v>
      </c>
      <c r="C8" s="451">
        <v>0.1036</v>
      </c>
      <c r="D8" s="13"/>
      <c r="E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448"/>
      <c r="B9" s="448" t="s">
        <v>908</v>
      </c>
      <c r="C9" s="448">
        <v>90.0</v>
      </c>
      <c r="D9" s="448"/>
      <c r="E9" s="448"/>
      <c r="F9" s="448"/>
      <c r="G9" s="448"/>
      <c r="H9" s="448"/>
      <c r="I9" s="448"/>
      <c r="J9" s="448"/>
      <c r="K9" s="1"/>
      <c r="L9" s="44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448"/>
      <c r="B10" s="448"/>
      <c r="C10" s="448"/>
      <c r="D10" s="448"/>
      <c r="E10" s="448"/>
      <c r="F10" s="448"/>
      <c r="G10" s="448"/>
      <c r="H10" s="448"/>
      <c r="I10" s="448"/>
      <c r="J10" s="448"/>
      <c r="K10" s="1"/>
      <c r="L10" s="44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448"/>
      <c r="B11" s="448" t="s">
        <v>909</v>
      </c>
      <c r="C11" s="452" t="s">
        <v>910</v>
      </c>
      <c r="D11" s="448" t="s">
        <v>911</v>
      </c>
      <c r="E11" s="448" t="s">
        <v>912</v>
      </c>
      <c r="F11" s="448" t="s">
        <v>913</v>
      </c>
      <c r="G11" s="448" t="s">
        <v>914</v>
      </c>
      <c r="H11" s="448" t="s">
        <v>915</v>
      </c>
      <c r="I11" s="448" t="s">
        <v>916</v>
      </c>
      <c r="J11" s="448" t="s">
        <v>917</v>
      </c>
      <c r="K11" s="448" t="s">
        <v>918</v>
      </c>
      <c r="L11" s="1" t="s">
        <v>179</v>
      </c>
      <c r="M11" s="448" t="s">
        <v>121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448"/>
      <c r="B12" s="453">
        <v>0.0</v>
      </c>
      <c r="C12" s="454">
        <v>0.105</v>
      </c>
      <c r="D12" s="455">
        <v>0.0</v>
      </c>
      <c r="E12" s="456">
        <f t="shared" ref="E12:E15" si="1">$C$2+D12</f>
        <v>0.1025</v>
      </c>
      <c r="F12" s="20">
        <v>0.102</v>
      </c>
      <c r="G12" s="457">
        <f t="shared" ref="G12:G15" si="2">$C$5*F12*$C$9/365</f>
        <v>12575342.47</v>
      </c>
      <c r="H12" s="457">
        <f t="shared" ref="H12:H15" si="3">$C$6*($C$4-D12)*$C$9/365</f>
        <v>7915068.493</v>
      </c>
      <c r="I12" s="457">
        <f t="shared" ref="I12:I15" si="4">$C$7*E12*$C$9/365</f>
        <v>5054794.521</v>
      </c>
      <c r="J12" s="456">
        <f t="shared" ref="J12:J15" si="5">SUM(G12:I12)/$C$1*365/90</f>
        <v>0.1036</v>
      </c>
      <c r="K12" s="456">
        <f t="shared" ref="K12:K15" si="6">J12-E12</f>
        <v>0.0011</v>
      </c>
      <c r="L12" s="20">
        <f t="shared" ref="L12:L15" si="7">$C$8-1%+D12</f>
        <v>0.0936</v>
      </c>
      <c r="M12" s="456">
        <f t="shared" ref="M12:M15" si="8">J12-L12</f>
        <v>0.01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448"/>
      <c r="B13" s="448">
        <v>25.0</v>
      </c>
      <c r="C13" s="458">
        <f t="shared" ref="C13:C15" si="9">$C$12+D13/10000</f>
        <v>0.10499975</v>
      </c>
      <c r="D13" s="450">
        <v>-0.0025</v>
      </c>
      <c r="E13" s="450">
        <f t="shared" si="1"/>
        <v>0.1</v>
      </c>
      <c r="F13" s="5">
        <f t="shared" ref="F13:F15" si="10">$F$12+($F$12*(-D13*0.75))</f>
        <v>0.10219125</v>
      </c>
      <c r="G13" s="449">
        <f t="shared" si="2"/>
        <v>12598921.23</v>
      </c>
      <c r="H13" s="449">
        <f t="shared" si="3"/>
        <v>8100000</v>
      </c>
      <c r="I13" s="449">
        <f t="shared" si="4"/>
        <v>4931506.849</v>
      </c>
      <c r="J13" s="450">
        <f t="shared" si="5"/>
        <v>0.103945625</v>
      </c>
      <c r="K13" s="450">
        <f t="shared" si="6"/>
        <v>0.003945625</v>
      </c>
      <c r="L13" s="5">
        <f t="shared" si="7"/>
        <v>0.0911</v>
      </c>
      <c r="M13" s="450">
        <f t="shared" si="8"/>
        <v>0.012845625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448"/>
      <c r="B14" s="448">
        <v>50.0</v>
      </c>
      <c r="C14" s="458">
        <f t="shared" si="9"/>
        <v>0.1049995</v>
      </c>
      <c r="D14" s="450">
        <v>-0.005</v>
      </c>
      <c r="E14" s="450">
        <f t="shared" si="1"/>
        <v>0.0975</v>
      </c>
      <c r="F14" s="5">
        <f t="shared" si="10"/>
        <v>0.1023825</v>
      </c>
      <c r="G14" s="449">
        <f t="shared" si="2"/>
        <v>12622500</v>
      </c>
      <c r="H14" s="449">
        <f t="shared" si="3"/>
        <v>8284931.507</v>
      </c>
      <c r="I14" s="449">
        <f t="shared" si="4"/>
        <v>4808219.178</v>
      </c>
      <c r="J14" s="450">
        <f t="shared" si="5"/>
        <v>0.10429125</v>
      </c>
      <c r="K14" s="450">
        <f t="shared" si="6"/>
        <v>0.00679125</v>
      </c>
      <c r="L14" s="5">
        <f t="shared" si="7"/>
        <v>0.0886</v>
      </c>
      <c r="M14" s="450">
        <f t="shared" si="8"/>
        <v>0.01569125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448"/>
      <c r="B15" s="448">
        <v>75.0</v>
      </c>
      <c r="C15" s="458">
        <f t="shared" si="9"/>
        <v>0.10499925</v>
      </c>
      <c r="D15" s="450">
        <v>-0.0075</v>
      </c>
      <c r="E15" s="450">
        <f t="shared" si="1"/>
        <v>0.095</v>
      </c>
      <c r="F15" s="5">
        <f t="shared" si="10"/>
        <v>0.10257375</v>
      </c>
      <c r="G15" s="449">
        <f t="shared" si="2"/>
        <v>12646078.77</v>
      </c>
      <c r="H15" s="449">
        <f t="shared" si="3"/>
        <v>8469863.014</v>
      </c>
      <c r="I15" s="449">
        <f t="shared" si="4"/>
        <v>4684931.507</v>
      </c>
      <c r="J15" s="450">
        <f t="shared" si="5"/>
        <v>0.104636875</v>
      </c>
      <c r="K15" s="450">
        <f t="shared" si="6"/>
        <v>0.009636875</v>
      </c>
      <c r="L15" s="5">
        <f t="shared" si="7"/>
        <v>0.0861</v>
      </c>
      <c r="M15" s="450">
        <f t="shared" si="8"/>
        <v>0.018536875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45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"/>
      <c r="B18" s="1" t="s">
        <v>919</v>
      </c>
      <c r="C18" s="459" t="s">
        <v>920</v>
      </c>
      <c r="D18" s="1">
        <f t="array" ref="D18:G18">TRANSPOSE(B12:B15)</f>
        <v>0</v>
      </c>
      <c r="E18" s="1">
        <v>25.0</v>
      </c>
      <c r="F18" s="1">
        <v>50.0</v>
      </c>
      <c r="G18" s="1">
        <v>75.0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"/>
      <c r="B19" s="399" t="s">
        <v>112</v>
      </c>
      <c r="C19" s="460">
        <v>0.46</v>
      </c>
      <c r="D19" s="20">
        <f t="array" ref="D19:G19">TRANSPOSE(E12:E15)</f>
        <v>0.1025</v>
      </c>
      <c r="E19" s="20">
        <v>0.09999999999999999</v>
      </c>
      <c r="F19" s="20">
        <v>0.09749999999999999</v>
      </c>
      <c r="G19" s="20">
        <v>0.095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"/>
      <c r="B20" s="1" t="s">
        <v>921</v>
      </c>
      <c r="C20" s="461">
        <v>0.007</v>
      </c>
      <c r="D20" s="5">
        <v>0.104</v>
      </c>
      <c r="E20" s="5">
        <f>D20+D13</f>
        <v>0.1015</v>
      </c>
      <c r="F20" s="5">
        <f>D20+D14</f>
        <v>0.099</v>
      </c>
      <c r="G20" s="5">
        <f>D20+D15</f>
        <v>0.0965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"/>
      <c r="B21" s="1" t="s">
        <v>88</v>
      </c>
      <c r="C21" s="461">
        <v>0.077</v>
      </c>
      <c r="D21" s="5">
        <v>0.11</v>
      </c>
      <c r="E21" s="5">
        <f>D21-(0.5*D13)</f>
        <v>0.11125</v>
      </c>
      <c r="F21" s="5">
        <f>E21-(0.5*D14)</f>
        <v>0.11375</v>
      </c>
      <c r="G21" s="5">
        <f>F21-(0.5*D15)</f>
        <v>0.1175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"/>
      <c r="B22" s="1" t="s">
        <v>922</v>
      </c>
      <c r="C22" s="461">
        <v>0.014</v>
      </c>
      <c r="D22" s="5">
        <v>0.11</v>
      </c>
      <c r="E22" s="5">
        <f t="shared" ref="E22:G22" si="11">D22</f>
        <v>0.11</v>
      </c>
      <c r="F22" s="5">
        <f t="shared" si="11"/>
        <v>0.11</v>
      </c>
      <c r="G22" s="5">
        <f t="shared" si="11"/>
        <v>0.11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"/>
      <c r="B23" s="1" t="s">
        <v>923</v>
      </c>
      <c r="C23" s="461">
        <v>0.133</v>
      </c>
      <c r="D23" s="5">
        <v>0.115</v>
      </c>
      <c r="E23" s="5">
        <f t="shared" ref="E23:G23" si="12">D23</f>
        <v>0.115</v>
      </c>
      <c r="F23" s="5">
        <f t="shared" si="12"/>
        <v>0.115</v>
      </c>
      <c r="G23" s="5">
        <f t="shared" si="12"/>
        <v>0.115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"/>
      <c r="B24" s="1" t="s">
        <v>129</v>
      </c>
      <c r="C24" s="462">
        <v>0.26</v>
      </c>
      <c r="D24" s="5">
        <v>0.125</v>
      </c>
      <c r="E24" s="5">
        <f>D24-D13</f>
        <v>0.1275</v>
      </c>
      <c r="F24" s="5">
        <f>D24-D14</f>
        <v>0.13</v>
      </c>
      <c r="G24" s="5">
        <f>D24-D15</f>
        <v>0.1325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"/>
      <c r="B25" s="1" t="s">
        <v>131</v>
      </c>
      <c r="C25" s="461">
        <v>0.045</v>
      </c>
      <c r="D25" s="5">
        <f t="shared" ref="D25:G25" si="13">D19+0.5%</f>
        <v>0.1075</v>
      </c>
      <c r="E25" s="5">
        <f t="shared" si="13"/>
        <v>0.105</v>
      </c>
      <c r="F25" s="5">
        <f t="shared" si="13"/>
        <v>0.1025</v>
      </c>
      <c r="G25" s="5">
        <f t="shared" si="13"/>
        <v>0.1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0">
        <f t="shared" ref="D26:G26" si="14">SUMPRODUCT($C$19:$C$25,D19:D25)</f>
        <v>0.1105205</v>
      </c>
      <c r="E26" s="20">
        <f t="shared" si="14"/>
        <v>0.10998675</v>
      </c>
      <c r="F26" s="20">
        <f t="shared" si="14"/>
        <v>0.10954925</v>
      </c>
      <c r="G26" s="20">
        <f t="shared" si="14"/>
        <v>0.109208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 t="s">
        <v>924</v>
      </c>
      <c r="D28" s="2">
        <v>3.0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 t="s">
        <v>925</v>
      </c>
      <c r="D29" s="6">
        <v>5.0E8</v>
      </c>
      <c r="E29" s="463">
        <f>TODAY()</f>
        <v>46109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 t="s">
        <v>0</v>
      </c>
      <c r="D30" s="6">
        <f>-PV(10.24%,3,0,D29)</f>
        <v>373209242.6</v>
      </c>
      <c r="E30" s="463">
        <f>E29+D31</f>
        <v>46199</v>
      </c>
      <c r="F30" s="449"/>
      <c r="G30" s="449"/>
      <c r="H30" s="449"/>
      <c r="I30" s="44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 t="s">
        <v>908</v>
      </c>
      <c r="D31" s="2">
        <v>90.0</v>
      </c>
      <c r="E31" s="2"/>
      <c r="F31" s="449"/>
      <c r="G31" s="449"/>
      <c r="H31" s="449"/>
      <c r="I31" s="44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 t="s">
        <v>926</v>
      </c>
      <c r="D32" s="464">
        <f>DURATION(E29,E30,10.24%,10.24%,1)</f>
        <v>0.2444444444</v>
      </c>
      <c r="E32" s="2"/>
      <c r="F32" s="451"/>
      <c r="G32" s="451"/>
      <c r="H32" s="451"/>
      <c r="I32" s="45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E33" s="2"/>
      <c r="F33" s="449"/>
      <c r="G33" s="449"/>
      <c r="H33" s="449"/>
      <c r="I33" s="44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 t="s">
        <v>927</v>
      </c>
      <c r="D34" s="6">
        <f>(D29-D30)/(365*3)</f>
        <v>115790.646</v>
      </c>
      <c r="E34" s="2"/>
      <c r="F34" s="465"/>
      <c r="G34" s="451"/>
      <c r="H34" s="451"/>
      <c r="I34" s="45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 t="s">
        <v>194</v>
      </c>
      <c r="D35" s="6">
        <f>D34*D31</f>
        <v>10421158.14</v>
      </c>
      <c r="E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13"/>
      <c r="G36" s="13"/>
      <c r="H36" s="13"/>
      <c r="I36" s="1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 t="s">
        <v>928</v>
      </c>
      <c r="D37" s="5">
        <v>0.0025</v>
      </c>
      <c r="E37" s="5">
        <v>0.005</v>
      </c>
      <c r="F37" s="5">
        <f>E37+D37</f>
        <v>0.0075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5">
        <f t="shared" ref="D38:F38" si="15">D37*($D$28-$D$32)</f>
        <v>0.006888888889</v>
      </c>
      <c r="E38" s="5">
        <f t="shared" si="15"/>
        <v>0.01377777778</v>
      </c>
      <c r="F38" s="5">
        <f t="shared" si="15"/>
        <v>0.02066666667</v>
      </c>
      <c r="G38" s="6"/>
      <c r="H38" s="6"/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6">
        <f t="shared" ref="D39:F39" si="16">D38*$D$29</f>
        <v>3444444.444</v>
      </c>
      <c r="E39" s="6">
        <f t="shared" si="16"/>
        <v>6888888.889</v>
      </c>
      <c r="F39" s="6">
        <f t="shared" si="16"/>
        <v>10333333.33</v>
      </c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6">
        <f t="shared" ref="D40:F40" si="17">$D$35+D39</f>
        <v>13865602.58</v>
      </c>
      <c r="E40" s="6">
        <f t="shared" si="17"/>
        <v>17310047.03</v>
      </c>
      <c r="F40" s="6">
        <f t="shared" si="17"/>
        <v>20754491.47</v>
      </c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8">
        <f t="shared" ref="D41:F41" si="18">RATE(1,0,-$D$30+D39,$D$29)</f>
        <v>0.3522109255</v>
      </c>
      <c r="E41" s="8">
        <f t="shared" si="18"/>
        <v>0.3649255218</v>
      </c>
      <c r="F41" s="8">
        <f t="shared" si="18"/>
        <v>0.3778814938</v>
      </c>
      <c r="G41" s="71"/>
      <c r="H41" s="71"/>
      <c r="I41" s="7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 t="s">
        <v>51</v>
      </c>
      <c r="D42" s="5">
        <f t="shared" ref="D42:F42" si="19">(1+D41)^(1/3)-1</f>
        <v>0.1058124627</v>
      </c>
      <c r="E42" s="5">
        <f t="shared" si="19"/>
        <v>0.1092675746</v>
      </c>
      <c r="F42" s="5">
        <f t="shared" si="19"/>
        <v>0.1127662772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71"/>
      <c r="G45" s="71"/>
      <c r="H45" s="71"/>
      <c r="I45" s="7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4"/>
  <legacyDrawing r:id="rId5"/>
</worksheet>
</file>